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\桌面\"/>
    </mc:Choice>
  </mc:AlternateContent>
  <xr:revisionPtr revIDLastSave="0" documentId="8_{52E7B81A-30BA-4336-AF35-A927C54958AA}" xr6:coauthVersionLast="47" xr6:coauthVersionMax="47" xr10:uidLastSave="{00000000-0000-0000-0000-000000000000}"/>
  <bookViews>
    <workbookView xWindow="-98" yWindow="-98" windowWidth="21795" windowHeight="12975" xr2:uid="{13916443-C9F3-45F9-8761-3DCEB5B850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2" i="1"/>
  <c r="U10" i="1"/>
  <c r="Q10" i="1"/>
  <c r="M10" i="1"/>
  <c r="J10" i="1"/>
  <c r="K10" i="1" s="1"/>
  <c r="G10" i="1"/>
  <c r="E10" i="1"/>
  <c r="U9" i="1"/>
  <c r="Q9" i="1"/>
  <c r="M9" i="1"/>
  <c r="J9" i="1"/>
  <c r="N9" i="1" s="1"/>
  <c r="O9" i="1" s="1"/>
  <c r="G9" i="1"/>
  <c r="E9" i="1"/>
  <c r="U8" i="1"/>
  <c r="Q8" i="1"/>
  <c r="M8" i="1"/>
  <c r="J8" i="1"/>
  <c r="K8" i="1" s="1"/>
  <c r="G8" i="1"/>
  <c r="E8" i="1"/>
  <c r="U7" i="1"/>
  <c r="Q7" i="1"/>
  <c r="M7" i="1"/>
  <c r="J7" i="1"/>
  <c r="K7" i="1" s="1"/>
  <c r="G7" i="1"/>
  <c r="E7" i="1"/>
  <c r="U6" i="1"/>
  <c r="Q6" i="1"/>
  <c r="M6" i="1"/>
  <c r="J6" i="1"/>
  <c r="N6" i="1" s="1"/>
  <c r="O6" i="1" s="1"/>
  <c r="G6" i="1"/>
  <c r="E6" i="1"/>
  <c r="U5" i="1"/>
  <c r="Q5" i="1"/>
  <c r="M5" i="1"/>
  <c r="J5" i="1"/>
  <c r="N5" i="1" s="1"/>
  <c r="O5" i="1" s="1"/>
  <c r="G5" i="1"/>
  <c r="E5" i="1"/>
  <c r="U4" i="1"/>
  <c r="Q4" i="1"/>
  <c r="M4" i="1"/>
  <c r="J4" i="1"/>
  <c r="N4" i="1" s="1"/>
  <c r="O4" i="1" s="1"/>
  <c r="G4" i="1"/>
  <c r="E4" i="1"/>
  <c r="U3" i="1"/>
  <c r="Q3" i="1"/>
  <c r="M3" i="1"/>
  <c r="J3" i="1"/>
  <c r="N3" i="1" s="1"/>
  <c r="O3" i="1" s="1"/>
  <c r="G3" i="1"/>
  <c r="E3" i="1"/>
  <c r="U2" i="1"/>
  <c r="Q2" i="1"/>
  <c r="M2" i="1"/>
  <c r="J2" i="1"/>
  <c r="N2" i="1" s="1"/>
  <c r="O2" i="1" s="1"/>
  <c r="G2" i="1"/>
  <c r="E2" i="1"/>
  <c r="N7" i="1" l="1"/>
  <c r="O7" i="1" s="1"/>
  <c r="N8" i="1"/>
  <c r="O8" i="1" s="1"/>
  <c r="K3" i="1"/>
  <c r="N10" i="1"/>
  <c r="O10" i="1" s="1"/>
  <c r="K5" i="1"/>
  <c r="K9" i="1"/>
  <c r="K2" i="1"/>
  <c r="K4" i="1"/>
  <c r="K6" i="1"/>
</calcChain>
</file>

<file path=xl/sharedStrings.xml><?xml version="1.0" encoding="utf-8"?>
<sst xmlns="http://schemas.openxmlformats.org/spreadsheetml/2006/main" count="49" uniqueCount="48">
  <si>
    <t>base_bd</t>
    <phoneticPr fontId="2" type="noConversion"/>
  </si>
  <si>
    <t>peak_dy</t>
    <phoneticPr fontId="2" type="noConversion"/>
  </si>
  <si>
    <t>peak_bd</t>
    <phoneticPr fontId="2" type="noConversion"/>
  </si>
  <si>
    <t>duration_bd</t>
    <phoneticPr fontId="2" type="noConversion"/>
  </si>
  <si>
    <t>AHI_dy</t>
    <phoneticPr fontId="2" type="noConversion"/>
  </si>
  <si>
    <t>景德镇</t>
    <phoneticPr fontId="2" type="noConversion"/>
  </si>
  <si>
    <t>2024/7/1-2025/7/1</t>
    <phoneticPr fontId="2" type="noConversion"/>
  </si>
  <si>
    <t>2025/12/1-2026/3/1</t>
    <phoneticPr fontId="2" type="noConversion"/>
  </si>
  <si>
    <t>哈尔滨</t>
    <phoneticPr fontId="2" type="noConversion"/>
  </si>
  <si>
    <t>2022/10/1-2023/10/1</t>
    <phoneticPr fontId="2" type="noConversion"/>
  </si>
  <si>
    <t>2024/3/1-2024/9/1</t>
    <phoneticPr fontId="2" type="noConversion"/>
  </si>
  <si>
    <t>淄博</t>
    <phoneticPr fontId="2" type="noConversion"/>
  </si>
  <si>
    <t>2022/2/28-2023/2/28</t>
    <phoneticPr fontId="2" type="noConversion"/>
  </si>
  <si>
    <t>2023/7/19-2024/1/19</t>
    <phoneticPr fontId="2" type="noConversion"/>
  </si>
  <si>
    <t>洛阳</t>
    <phoneticPr fontId="2" type="noConversion"/>
  </si>
  <si>
    <t>2022/12/1-2023/12/1</t>
    <phoneticPr fontId="2" type="noConversion"/>
  </si>
  <si>
    <t>杭州</t>
    <phoneticPr fontId="2" type="noConversion"/>
  </si>
  <si>
    <t>2022/8/4-2023/8/4</t>
    <phoneticPr fontId="2" type="noConversion"/>
  </si>
  <si>
    <t>2023/11/6-2024/5/6</t>
    <phoneticPr fontId="2" type="noConversion"/>
  </si>
  <si>
    <t>佛山</t>
    <phoneticPr fontId="2" type="noConversion"/>
  </si>
  <si>
    <t>2022/7/17-2023/7/17</t>
    <phoneticPr fontId="2" type="noConversion"/>
  </si>
  <si>
    <t>2023/11/27-2024/5/27</t>
    <phoneticPr fontId="2" type="noConversion"/>
  </si>
  <si>
    <t>天水</t>
    <phoneticPr fontId="2" type="noConversion"/>
  </si>
  <si>
    <t>2023/1/13-2024/1/13</t>
    <phoneticPr fontId="2" type="noConversion"/>
  </si>
  <si>
    <t>2024/5/21-2024/11/21</t>
    <phoneticPr fontId="2" type="noConversion"/>
  </si>
  <si>
    <t>哀牢山</t>
    <phoneticPr fontId="2" type="noConversion"/>
  </si>
  <si>
    <t>2023/9/26-2024/9/26</t>
    <phoneticPr fontId="2" type="noConversion"/>
  </si>
  <si>
    <t>2024/11/21-2025/5/21</t>
    <phoneticPr fontId="2" type="noConversion"/>
  </si>
  <si>
    <t>开封</t>
    <phoneticPr fontId="2" type="noConversion"/>
  </si>
  <si>
    <t>2023/1/1-2024/1/1</t>
    <phoneticPr fontId="2" type="noConversion"/>
  </si>
  <si>
    <t>2024/5/26-2024/8/26</t>
    <phoneticPr fontId="2" type="noConversion"/>
  </si>
  <si>
    <t>city</t>
    <phoneticPr fontId="2" type="noConversion"/>
  </si>
  <si>
    <t>base_dy</t>
    <phoneticPr fontId="2" type="noConversion"/>
  </si>
  <si>
    <t>duration_dy</t>
    <phoneticPr fontId="2" type="noConversion"/>
  </si>
  <si>
    <t>zpeak_dy</t>
    <phoneticPr fontId="2" type="noConversion"/>
  </si>
  <si>
    <t>zpeak_bd</t>
    <phoneticPr fontId="2" type="noConversion"/>
  </si>
  <si>
    <t>t_start</t>
    <phoneticPr fontId="2" type="noConversion"/>
  </si>
  <si>
    <t>t_end</t>
    <phoneticPr fontId="2" type="noConversion"/>
  </si>
  <si>
    <t>zduration_dy</t>
    <phoneticPr fontId="2" type="noConversion"/>
  </si>
  <si>
    <t>zduration_bd</t>
    <phoneticPr fontId="2" type="noConversion"/>
  </si>
  <si>
    <t>total_heat_dy</t>
    <phoneticPr fontId="2" type="noConversion"/>
  </si>
  <si>
    <t>ztotal_heat_dy</t>
    <phoneticPr fontId="2" type="noConversion"/>
  </si>
  <si>
    <t>total_heat_bd</t>
    <phoneticPr fontId="2" type="noConversion"/>
  </si>
  <si>
    <t>ztotal_heat_bd</t>
    <phoneticPr fontId="2" type="noConversion"/>
  </si>
  <si>
    <t>t_base</t>
    <phoneticPr fontId="2" type="noConversion"/>
  </si>
  <si>
    <t>t_peak</t>
    <phoneticPr fontId="2" type="noConversion"/>
  </si>
  <si>
    <t>t_cool</t>
    <phoneticPr fontId="2" type="noConversion"/>
  </si>
  <si>
    <t>AHI_bd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</si>
</sst>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华文楷体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76" fontId="0" fillId="3" borderId="0" xfId="0" applyNumberFormat="1" applyFill="1">
      <alignment vertical="center"/>
    </xf>
    <xf numFmtId="0" fontId="0" fillId="4" borderId="0" xfId="0" applyFill="1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F9D9B-810F-4537-9EF7-CB4EAA6C25ED}">
  <dimension ref="A1:V10"/>
  <sheetViews>
    <sheetView tabSelected="1" zoomScale="165" workbookViewId="0">
      <selection activeCell="B9" sqref="B9"/>
    </sheetView>
  </sheetViews>
  <sheetFormatPr defaultRowHeight="13.9" x14ac:dyDescent="0.4"/>
  <cols>
    <col min="2" max="7" width="9.1328125" bestFit="1" customWidth="1"/>
    <col min="8" max="9" width="10.73046875" bestFit="1" customWidth="1"/>
    <col min="10" max="13" width="9.1328125" bestFit="1" customWidth="1"/>
    <col min="14" max="14" width="10.19921875" bestFit="1" customWidth="1"/>
    <col min="15" max="17" width="9.1328125" bestFit="1" customWidth="1"/>
    <col min="21" max="21" width="9.1328125" bestFit="1" customWidth="1"/>
  </cols>
  <sheetData>
    <row r="1" spans="1:22" x14ac:dyDescent="0.4">
      <c r="A1" t="s">
        <v>31</v>
      </c>
      <c r="B1" s="1" t="s">
        <v>32</v>
      </c>
      <c r="C1" s="1" t="s">
        <v>0</v>
      </c>
      <c r="D1" s="2" t="s">
        <v>1</v>
      </c>
      <c r="E1" s="2" t="s">
        <v>34</v>
      </c>
      <c r="F1" s="2" t="s">
        <v>2</v>
      </c>
      <c r="G1" s="2" t="s">
        <v>35</v>
      </c>
      <c r="H1" s="1" t="s">
        <v>36</v>
      </c>
      <c r="I1" s="1" t="s">
        <v>37</v>
      </c>
      <c r="J1" s="3" t="s">
        <v>33</v>
      </c>
      <c r="K1" s="3" t="s">
        <v>38</v>
      </c>
      <c r="L1" s="3" t="s">
        <v>3</v>
      </c>
      <c r="M1" s="3" t="s">
        <v>39</v>
      </c>
      <c r="N1" s="3" t="s">
        <v>40</v>
      </c>
      <c r="O1" s="3" t="s">
        <v>41</v>
      </c>
      <c r="P1" s="3" t="s">
        <v>42</v>
      </c>
      <c r="Q1" s="3" t="s">
        <v>43</v>
      </c>
      <c r="R1" s="4" t="s">
        <v>44</v>
      </c>
      <c r="S1" s="4" t="s">
        <v>45</v>
      </c>
      <c r="T1" s="4" t="s">
        <v>46</v>
      </c>
      <c r="U1" s="2" t="s">
        <v>4</v>
      </c>
      <c r="V1" s="4" t="s">
        <v>47</v>
      </c>
    </row>
    <row r="2" spans="1:22" x14ac:dyDescent="0.4">
      <c r="A2" t="s">
        <v>5</v>
      </c>
      <c r="B2">
        <v>18.5</v>
      </c>
      <c r="C2">
        <v>20.8</v>
      </c>
      <c r="D2">
        <v>507</v>
      </c>
      <c r="E2">
        <f>(D2-1462.5556)/863.61668</f>
        <v>-1.1064580179252674</v>
      </c>
      <c r="F2">
        <v>640.79999999999995</v>
      </c>
      <c r="G2">
        <f>(F2-2255.3556)/2318</f>
        <v>-0.69652959447799823</v>
      </c>
      <c r="H2" s="5">
        <v>45910</v>
      </c>
      <c r="I2" s="5">
        <v>45987</v>
      </c>
      <c r="J2" s="6">
        <f t="shared" ref="J2:J10" si="0">DATEDIF(H2,I2,"D")</f>
        <v>77</v>
      </c>
      <c r="K2" s="6">
        <f>(J2-70.22)/17.04</f>
        <v>0.39788732394366205</v>
      </c>
      <c r="L2" s="6">
        <v>77</v>
      </c>
      <c r="M2" s="6">
        <f>(L2-51.78)/32.2830365</f>
        <v>0.78121523667700832</v>
      </c>
      <c r="N2" s="6">
        <f>PRODUCT(0.5,D2,J2)</f>
        <v>19519.5</v>
      </c>
      <c r="O2" s="6">
        <f>(N2-53625.44)/41040.8</f>
        <v>-0.83102522367985032</v>
      </c>
      <c r="P2" s="6">
        <v>602.64</v>
      </c>
      <c r="Q2" s="6">
        <f>(P2-1059.94)/1452.72722</f>
        <v>-0.31478724546787251</v>
      </c>
      <c r="R2" s="5" t="s">
        <v>6</v>
      </c>
      <c r="S2" s="5"/>
      <c r="T2" s="5" t="s">
        <v>7</v>
      </c>
      <c r="U2" s="6">
        <f>QUOTIENT(D2-B2,B2)</f>
        <v>26</v>
      </c>
      <c r="V2">
        <f>(F2-C2)/C2</f>
        <v>29.807692307692307</v>
      </c>
    </row>
    <row r="3" spans="1:22" x14ac:dyDescent="0.4">
      <c r="A3" t="s">
        <v>8</v>
      </c>
      <c r="B3">
        <v>75</v>
      </c>
      <c r="C3">
        <v>54.2</v>
      </c>
      <c r="D3">
        <v>2479</v>
      </c>
      <c r="E3">
        <f t="shared" ref="E3:E10" si="1">(D3-1462.5556)/863.61668</f>
        <v>1.1769624458851351</v>
      </c>
      <c r="F3">
        <v>3465.6</v>
      </c>
      <c r="G3">
        <f t="shared" ref="G3:G10" si="2">(F3-2255.3556)/2318</f>
        <v>0.52210716134598789</v>
      </c>
      <c r="H3" s="5">
        <v>45276</v>
      </c>
      <c r="I3" s="5">
        <v>45351</v>
      </c>
      <c r="J3" s="6">
        <f t="shared" si="0"/>
        <v>75</v>
      </c>
      <c r="K3" s="6">
        <f t="shared" ref="K3:K10" si="3">(J3-70.22)/17.04</f>
        <v>0.28051643192488274</v>
      </c>
      <c r="L3" s="6">
        <v>71</v>
      </c>
      <c r="M3" s="6">
        <f t="shared" ref="M3:M10" si="4">(L3-51.78)/32.2830365</f>
        <v>0.59535911375622919</v>
      </c>
      <c r="N3" s="6">
        <f t="shared" ref="N3:N10" si="5">PRODUCT(0.5,D3,J3)</f>
        <v>92962.5</v>
      </c>
      <c r="O3" s="6">
        <f t="shared" ref="O3:O10" si="6">(N3-53625.44)/41040.8</f>
        <v>0.95848667667296916</v>
      </c>
      <c r="P3" s="6">
        <v>725.93</v>
      </c>
      <c r="Q3" s="6">
        <f t="shared" ref="Q3:Q10" si="7">(P3-1059.94)/1452.72722</f>
        <v>-0.22991928243762108</v>
      </c>
      <c r="R3" s="5" t="s">
        <v>9</v>
      </c>
      <c r="S3" s="5"/>
      <c r="T3" s="5" t="s">
        <v>10</v>
      </c>
      <c r="U3" s="6">
        <f>QUOTIENT(D3-B3,B3)</f>
        <v>32</v>
      </c>
      <c r="V3">
        <f t="shared" ref="V3:V10" si="8">(F3-C3)/C3</f>
        <v>62.940959409594093</v>
      </c>
    </row>
    <row r="4" spans="1:22" x14ac:dyDescent="0.4">
      <c r="A4" t="s">
        <v>11</v>
      </c>
      <c r="B4">
        <v>11</v>
      </c>
      <c r="C4">
        <v>9.4</v>
      </c>
      <c r="D4">
        <v>2746</v>
      </c>
      <c r="E4">
        <f t="shared" si="1"/>
        <v>1.48612738697914</v>
      </c>
      <c r="F4">
        <v>3398.9</v>
      </c>
      <c r="G4">
        <f t="shared" si="2"/>
        <v>0.49333235547886117</v>
      </c>
      <c r="H4" s="5">
        <v>45023</v>
      </c>
      <c r="I4" s="5">
        <v>45126</v>
      </c>
      <c r="J4" s="6">
        <f t="shared" si="0"/>
        <v>103</v>
      </c>
      <c r="K4" s="6">
        <f t="shared" si="3"/>
        <v>1.9237089201877935</v>
      </c>
      <c r="L4" s="6">
        <v>102</v>
      </c>
      <c r="M4" s="6">
        <f t="shared" si="4"/>
        <v>1.5556157488469213</v>
      </c>
      <c r="N4" s="6">
        <f t="shared" si="5"/>
        <v>141419</v>
      </c>
      <c r="O4" s="6">
        <f t="shared" si="6"/>
        <v>2.1391775988772146</v>
      </c>
      <c r="P4" s="6">
        <v>2715.58</v>
      </c>
      <c r="Q4" s="6">
        <f t="shared" si="7"/>
        <v>1.1396771377354655</v>
      </c>
      <c r="R4" s="5" t="s">
        <v>12</v>
      </c>
      <c r="S4" s="5"/>
      <c r="T4" s="5" t="s">
        <v>13</v>
      </c>
      <c r="U4" s="6">
        <f>QUOTIENT(D4-B4,B4)</f>
        <v>248</v>
      </c>
      <c r="V4">
        <f t="shared" si="8"/>
        <v>360.58510638297872</v>
      </c>
    </row>
    <row r="5" spans="1:22" x14ac:dyDescent="0.4">
      <c r="A5" t="s">
        <v>14</v>
      </c>
      <c r="B5">
        <v>45</v>
      </c>
      <c r="C5">
        <v>52</v>
      </c>
      <c r="D5">
        <v>375</v>
      </c>
      <c r="E5">
        <f t="shared" si="1"/>
        <v>-1.2593036067807304</v>
      </c>
      <c r="F5">
        <v>688.6</v>
      </c>
      <c r="G5">
        <f t="shared" si="2"/>
        <v>-0.67590836928386533</v>
      </c>
      <c r="H5" s="5">
        <v>45300</v>
      </c>
      <c r="I5" s="5">
        <v>45352</v>
      </c>
      <c r="J5" s="6">
        <f t="shared" si="0"/>
        <v>52</v>
      </c>
      <c r="K5" s="6">
        <f t="shared" si="3"/>
        <v>-1.0692488262910798</v>
      </c>
      <c r="L5" s="6">
        <v>20</v>
      </c>
      <c r="M5" s="6">
        <f t="shared" si="4"/>
        <v>-0.98441793107039355</v>
      </c>
      <c r="N5" s="6">
        <f t="shared" si="5"/>
        <v>9750</v>
      </c>
      <c r="O5" s="6">
        <f t="shared" si="6"/>
        <v>-1.0690688290676595</v>
      </c>
      <c r="P5" s="6">
        <v>51.63</v>
      </c>
      <c r="Q5" s="6">
        <f t="shared" si="7"/>
        <v>-0.69408075109930145</v>
      </c>
      <c r="R5" s="5" t="s">
        <v>15</v>
      </c>
      <c r="T5" s="5" t="s">
        <v>10</v>
      </c>
      <c r="U5" s="6">
        <f>QUOTIENT(D5-B5,B5)</f>
        <v>7</v>
      </c>
      <c r="V5">
        <f t="shared" si="8"/>
        <v>12.242307692307692</v>
      </c>
    </row>
    <row r="6" spans="1:22" x14ac:dyDescent="0.4">
      <c r="A6" t="s">
        <v>16</v>
      </c>
      <c r="B6">
        <v>140</v>
      </c>
      <c r="C6">
        <v>157.9</v>
      </c>
      <c r="D6">
        <v>1766</v>
      </c>
      <c r="E6">
        <f t="shared" si="1"/>
        <v>0.35136468184009612</v>
      </c>
      <c r="F6">
        <v>7352.8</v>
      </c>
      <c r="G6">
        <f t="shared" si="2"/>
        <v>2.199070060396894</v>
      </c>
      <c r="H6" s="5">
        <v>45187</v>
      </c>
      <c r="I6" s="5">
        <v>45236</v>
      </c>
      <c r="J6" s="6">
        <f t="shared" si="0"/>
        <v>49</v>
      </c>
      <c r="K6" s="6">
        <f t="shared" si="3"/>
        <v>-1.2453051643192488</v>
      </c>
      <c r="L6" s="6">
        <v>21</v>
      </c>
      <c r="M6" s="6">
        <f t="shared" si="4"/>
        <v>-0.95344191058359706</v>
      </c>
      <c r="N6" s="6">
        <f t="shared" si="5"/>
        <v>43267</v>
      </c>
      <c r="O6" s="6">
        <f t="shared" si="6"/>
        <v>-0.25239371552211459</v>
      </c>
      <c r="P6" s="6">
        <v>124.26</v>
      </c>
      <c r="Q6" s="6">
        <f t="shared" si="7"/>
        <v>-0.64408512976028631</v>
      </c>
      <c r="R6" s="5" t="s">
        <v>17</v>
      </c>
      <c r="T6" s="5" t="s">
        <v>18</v>
      </c>
      <c r="U6" s="6">
        <f>QUOTIENT(D6-B6,B6)</f>
        <v>11</v>
      </c>
      <c r="V6">
        <f t="shared" si="8"/>
        <v>45.566181127295756</v>
      </c>
    </row>
    <row r="7" spans="1:22" x14ac:dyDescent="0.4">
      <c r="A7" t="s">
        <v>19</v>
      </c>
      <c r="B7">
        <v>35</v>
      </c>
      <c r="C7">
        <v>30.7</v>
      </c>
      <c r="D7">
        <v>1374</v>
      </c>
      <c r="E7">
        <f t="shared" si="1"/>
        <v>-0.10254040021552145</v>
      </c>
      <c r="F7">
        <v>59.3</v>
      </c>
      <c r="G7">
        <f t="shared" si="2"/>
        <v>-0.94739240724762708</v>
      </c>
      <c r="H7" s="5">
        <v>45192</v>
      </c>
      <c r="I7" s="5">
        <v>45257</v>
      </c>
      <c r="J7" s="6">
        <f t="shared" si="0"/>
        <v>65</v>
      </c>
      <c r="K7" s="6">
        <f t="shared" si="3"/>
        <v>-0.30633802816901401</v>
      </c>
      <c r="L7" s="6">
        <v>1</v>
      </c>
      <c r="M7" s="6">
        <f t="shared" si="4"/>
        <v>-1.5729623203195275</v>
      </c>
      <c r="N7" s="6">
        <f t="shared" si="5"/>
        <v>44655</v>
      </c>
      <c r="O7" s="6">
        <f t="shared" si="6"/>
        <v>-0.21857371201341108</v>
      </c>
      <c r="P7" s="6">
        <v>2.3199999999999998</v>
      </c>
      <c r="Q7" s="6">
        <f t="shared" si="7"/>
        <v>-0.72802380614854878</v>
      </c>
      <c r="R7" s="5" t="s">
        <v>20</v>
      </c>
      <c r="T7" s="5" t="s">
        <v>21</v>
      </c>
      <c r="U7" s="6">
        <f>QUOTIENT(D7-B7,B7)</f>
        <v>38</v>
      </c>
      <c r="V7">
        <f t="shared" si="8"/>
        <v>0.9315960912052117</v>
      </c>
    </row>
    <row r="8" spans="1:22" x14ac:dyDescent="0.4">
      <c r="A8" t="s">
        <v>22</v>
      </c>
      <c r="B8">
        <v>6.5</v>
      </c>
      <c r="C8">
        <v>5</v>
      </c>
      <c r="D8">
        <v>651</v>
      </c>
      <c r="E8">
        <f t="shared" si="1"/>
        <v>-0.93971737553748957</v>
      </c>
      <c r="F8">
        <v>999.1</v>
      </c>
      <c r="G8">
        <f t="shared" si="2"/>
        <v>-0.54195668679896458</v>
      </c>
      <c r="H8" s="5">
        <v>45358</v>
      </c>
      <c r="I8" s="5">
        <v>45430</v>
      </c>
      <c r="J8" s="6">
        <f t="shared" si="0"/>
        <v>72</v>
      </c>
      <c r="K8" s="6">
        <f t="shared" si="3"/>
        <v>0.10446009389671369</v>
      </c>
      <c r="L8" s="6">
        <v>68</v>
      </c>
      <c r="M8" s="6">
        <f t="shared" si="4"/>
        <v>0.50243105229583962</v>
      </c>
      <c r="N8" s="6">
        <f t="shared" si="5"/>
        <v>23436</v>
      </c>
      <c r="O8" s="6">
        <f t="shared" si="6"/>
        <v>-0.73559579735287817</v>
      </c>
      <c r="P8" s="6">
        <v>824.13</v>
      </c>
      <c r="Q8" s="6">
        <f t="shared" si="7"/>
        <v>-0.1623222837388564</v>
      </c>
      <c r="R8" s="5" t="s">
        <v>23</v>
      </c>
      <c r="T8" s="5" t="s">
        <v>24</v>
      </c>
      <c r="U8" s="6">
        <f>QUOTIENT(D8-B8,B8)</f>
        <v>99</v>
      </c>
      <c r="V8">
        <f t="shared" si="8"/>
        <v>198.82</v>
      </c>
    </row>
    <row r="9" spans="1:22" x14ac:dyDescent="0.4">
      <c r="A9" t="s">
        <v>25</v>
      </c>
      <c r="B9">
        <v>7</v>
      </c>
      <c r="C9">
        <v>4.4000000000000004</v>
      </c>
      <c r="D9">
        <v>2065</v>
      </c>
      <c r="E9">
        <f t="shared" si="1"/>
        <v>0.69758309902027382</v>
      </c>
      <c r="F9">
        <v>2947.9</v>
      </c>
      <c r="G9">
        <f t="shared" si="2"/>
        <v>0.2987680759275238</v>
      </c>
      <c r="H9" s="5">
        <v>45561</v>
      </c>
      <c r="I9" s="5">
        <v>45617</v>
      </c>
      <c r="J9" s="6">
        <f t="shared" si="0"/>
        <v>56</v>
      </c>
      <c r="K9" s="6">
        <f t="shared" si="3"/>
        <v>-0.83450704225352113</v>
      </c>
      <c r="L9" s="6">
        <v>55</v>
      </c>
      <c r="M9" s="6">
        <f t="shared" si="4"/>
        <v>9.9742785967484773E-2</v>
      </c>
      <c r="N9" s="6">
        <f t="shared" si="5"/>
        <v>57820</v>
      </c>
      <c r="O9" s="6">
        <f t="shared" si="6"/>
        <v>0.10220463538722435</v>
      </c>
      <c r="P9" s="6">
        <v>4238.8999999999996</v>
      </c>
      <c r="Q9" s="6">
        <f t="shared" si="7"/>
        <v>2.1882704173464855</v>
      </c>
      <c r="R9" s="5" t="s">
        <v>26</v>
      </c>
      <c r="T9" s="5" t="s">
        <v>27</v>
      </c>
      <c r="U9" s="6">
        <f>QUOTIENT(D9-B9,B9)</f>
        <v>294</v>
      </c>
      <c r="V9">
        <f t="shared" si="8"/>
        <v>668.97727272727263</v>
      </c>
    </row>
    <row r="10" spans="1:22" x14ac:dyDescent="0.4">
      <c r="A10" t="s">
        <v>28</v>
      </c>
      <c r="B10">
        <v>17.600000000000001</v>
      </c>
      <c r="C10">
        <v>30.4</v>
      </c>
      <c r="D10">
        <v>1200</v>
      </c>
      <c r="E10">
        <f t="shared" si="1"/>
        <v>-0.30401867643408637</v>
      </c>
      <c r="F10">
        <v>745.2</v>
      </c>
      <c r="G10">
        <f t="shared" si="2"/>
        <v>-0.65149076790336491</v>
      </c>
      <c r="H10" s="5">
        <v>45355</v>
      </c>
      <c r="I10" s="5">
        <v>45438</v>
      </c>
      <c r="J10" s="6">
        <f t="shared" si="0"/>
        <v>83</v>
      </c>
      <c r="K10" s="6">
        <f t="shared" si="3"/>
        <v>0.75000000000000011</v>
      </c>
      <c r="L10" s="6">
        <v>51</v>
      </c>
      <c r="M10" s="6">
        <f t="shared" si="4"/>
        <v>-2.4161295979701323E-2</v>
      </c>
      <c r="N10" s="6">
        <f t="shared" si="5"/>
        <v>49800</v>
      </c>
      <c r="O10" s="6">
        <f t="shared" si="6"/>
        <v>-9.3210658661624576E-2</v>
      </c>
      <c r="P10" s="6">
        <v>254.11</v>
      </c>
      <c r="Q10" s="6">
        <f t="shared" si="7"/>
        <v>-0.5547015220104432</v>
      </c>
      <c r="R10" s="5" t="s">
        <v>29</v>
      </c>
      <c r="T10" s="5" t="s">
        <v>30</v>
      </c>
      <c r="U10" s="6">
        <f>QUOTIENT(D10-B10,B10)</f>
        <v>67</v>
      </c>
      <c r="V10">
        <f t="shared" si="8"/>
        <v>23.513157894736846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Zenia</dc:creator>
  <cp:lastModifiedBy>Liu Zenia</cp:lastModifiedBy>
  <dcterms:created xsi:type="dcterms:W3CDTF">2026-04-19T12:35:09Z</dcterms:created>
  <dcterms:modified xsi:type="dcterms:W3CDTF">2026-04-19T12:46:03Z</dcterms:modified>
</cp:coreProperties>
</file>