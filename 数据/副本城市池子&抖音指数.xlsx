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桌面\"/>
    </mc:Choice>
  </mc:AlternateContent>
  <xr:revisionPtr revIDLastSave="0" documentId="13_ncr:1_{684D846E-EC3C-43ED-AF60-24A6D847FA75}" xr6:coauthVersionLast="47" xr6:coauthVersionMax="47" xr10:uidLastSave="{00000000-0000-0000-0000-000000000000}"/>
  <bookViews>
    <workbookView xWindow="-98" yWindow="-98" windowWidth="21795" windowHeight="12975" xr2:uid="{52E38CB4-F609-472C-A072-426A21DB7D7D}"/>
  </bookViews>
  <sheets>
    <sheet name="抖音指数" sheetId="2" r:id="rId1"/>
    <sheet name="城市名单" sheetId="1" r:id="rId2"/>
    <sheet name="图例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8" i="2"/>
  <c r="Q9" i="2"/>
  <c r="Q10" i="2"/>
  <c r="Q2" i="2"/>
  <c r="O3" i="2"/>
  <c r="O4" i="2"/>
  <c r="O5" i="2"/>
  <c r="O6" i="2"/>
  <c r="O7" i="2"/>
  <c r="O8" i="2"/>
  <c r="O9" i="2"/>
  <c r="O10" i="2"/>
  <c r="O2" i="2"/>
  <c r="M3" i="2"/>
  <c r="M4" i="2"/>
  <c r="M5" i="2"/>
  <c r="M6" i="2"/>
  <c r="M7" i="2"/>
  <c r="M8" i="2"/>
  <c r="M9" i="2"/>
  <c r="M10" i="2"/>
  <c r="M2" i="2"/>
  <c r="K3" i="2"/>
  <c r="K4" i="2"/>
  <c r="K5" i="2"/>
  <c r="K6" i="2"/>
  <c r="K7" i="2"/>
  <c r="K8" i="2"/>
  <c r="K9" i="2"/>
  <c r="K10" i="2"/>
  <c r="K2" i="2"/>
  <c r="G3" i="2"/>
  <c r="G4" i="2"/>
  <c r="G5" i="2"/>
  <c r="G6" i="2"/>
  <c r="G7" i="2"/>
  <c r="G8" i="2"/>
  <c r="G9" i="2"/>
  <c r="G10" i="2"/>
  <c r="G2" i="2"/>
  <c r="E3" i="2"/>
  <c r="E4" i="2"/>
  <c r="E5" i="2"/>
  <c r="E6" i="2"/>
  <c r="E7" i="2"/>
  <c r="E8" i="2"/>
  <c r="E9" i="2"/>
  <c r="E10" i="2"/>
  <c r="E2" i="2"/>
  <c r="P12" i="2"/>
  <c r="P11" i="2"/>
  <c r="L12" i="2"/>
  <c r="L11" i="2"/>
  <c r="F12" i="2"/>
  <c r="F11" i="2"/>
  <c r="D12" i="2"/>
  <c r="D11" i="2"/>
  <c r="V3" i="2"/>
  <c r="V4" i="2"/>
  <c r="V5" i="2"/>
  <c r="V6" i="2"/>
  <c r="V7" i="2"/>
  <c r="V8" i="2"/>
  <c r="V9" i="2"/>
  <c r="V10" i="2"/>
  <c r="V2" i="2"/>
  <c r="J3" i="2"/>
  <c r="N3" i="2" s="1"/>
  <c r="J4" i="2"/>
  <c r="N4" i="2" s="1"/>
  <c r="J5" i="2"/>
  <c r="N5" i="2" s="1"/>
  <c r="J6" i="2"/>
  <c r="N6" i="2" s="1"/>
  <c r="J7" i="2"/>
  <c r="N7" i="2" s="1"/>
  <c r="J8" i="2"/>
  <c r="N8" i="2" s="1"/>
  <c r="J9" i="2"/>
  <c r="N9" i="2" s="1"/>
  <c r="J10" i="2"/>
  <c r="N10" i="2" s="1"/>
  <c r="J2" i="2"/>
  <c r="N2" i="2" s="1"/>
  <c r="N11" i="2" l="1"/>
  <c r="N12" i="2"/>
  <c r="J11" i="2"/>
  <c r="J12" i="2"/>
</calcChain>
</file>

<file path=xl/sharedStrings.xml><?xml version="1.0" encoding="utf-8"?>
<sst xmlns="http://schemas.openxmlformats.org/spreadsheetml/2006/main" count="167" uniqueCount="145">
  <si>
    <t>网红城市</t>
    <phoneticPr fontId="1" type="noConversion"/>
  </si>
  <si>
    <t>网红事件</t>
    <phoneticPr fontId="1" type="noConversion"/>
  </si>
  <si>
    <t>出圈时间</t>
    <phoneticPr fontId="1" type="noConversion"/>
  </si>
  <si>
    <t>天水</t>
    <phoneticPr fontId="1" type="noConversion"/>
  </si>
  <si>
    <t>天水麻辣烫</t>
    <phoneticPr fontId="1" type="noConversion"/>
  </si>
  <si>
    <t>2024/3-2024/4</t>
    <phoneticPr fontId="1" type="noConversion"/>
  </si>
  <si>
    <t>开封</t>
    <phoneticPr fontId="1" type="noConversion"/>
  </si>
  <si>
    <t>万岁山王婆说媒相亲</t>
    <phoneticPr fontId="1" type="noConversion"/>
  </si>
  <si>
    <t>夜骑开封</t>
    <phoneticPr fontId="1" type="noConversion"/>
  </si>
  <si>
    <t>2024/11-2024/12</t>
    <phoneticPr fontId="1" type="noConversion"/>
  </si>
  <si>
    <t>峰值</t>
    <phoneticPr fontId="1" type="noConversion"/>
  </si>
  <si>
    <t>抖音指数：搜索指数峰值（/万）</t>
    <phoneticPr fontId="1" type="noConversion"/>
  </si>
  <si>
    <t>https://m.gmw.cn/2024-10/20/content_1303876512.htm</t>
    <phoneticPr fontId="1" type="noConversion"/>
  </si>
  <si>
    <t>哀牢山</t>
    <phoneticPr fontId="1" type="noConversion"/>
  </si>
  <si>
    <t>颜料师探险视频引发全网猎奇探索热</t>
    <phoneticPr fontId="1" type="noConversion"/>
  </si>
  <si>
    <t>景德镇</t>
    <phoneticPr fontId="1" type="noConversion"/>
  </si>
  <si>
    <t>景德镇鸡排哥</t>
    <phoneticPr fontId="1" type="noConversion"/>
  </si>
  <si>
    <t>事件类型</t>
    <phoneticPr fontId="1" type="noConversion"/>
  </si>
  <si>
    <t>短视频（素人IP）</t>
    <phoneticPr fontId="1" type="noConversion"/>
  </si>
  <si>
    <t>生活方式</t>
    <phoneticPr fontId="1" type="noConversion"/>
  </si>
  <si>
    <t>短视频</t>
    <phoneticPr fontId="1" type="noConversion"/>
  </si>
  <si>
    <t>、</t>
    <phoneticPr fontId="1" type="noConversion"/>
  </si>
  <si>
    <t>短视频（猎奇）</t>
    <phoneticPr fontId="1" type="noConversion"/>
  </si>
  <si>
    <t>2025/9-2025/10</t>
    <phoneticPr fontId="1" type="noConversion"/>
  </si>
  <si>
    <t>城市</t>
    <phoneticPr fontId="1" type="noConversion"/>
  </si>
  <si>
    <t>T_start</t>
    <phoneticPr fontId="1" type="noConversion"/>
  </si>
  <si>
    <t>T_end</t>
    <phoneticPr fontId="1" type="noConversion"/>
  </si>
  <si>
    <t>哈尔滨</t>
    <phoneticPr fontId="1" type="noConversion"/>
  </si>
  <si>
    <t>备注</t>
    <phoneticPr fontId="1" type="noConversion"/>
  </si>
  <si>
    <t>部分高质量网红城市的流量在经历波峰退潮后，并未跌回早期的初始基线，而是形成了更高水位的‘新基线’（如景德镇热度从 185万 的旧基线抬升并企稳至 200万+）</t>
    <phoneticPr fontId="1" type="noConversion"/>
  </si>
  <si>
    <t>由旧基线75万抬至85万＋</t>
    <phoneticPr fontId="1" type="noConversion"/>
  </si>
  <si>
    <t>个人IP走红
文旅消费激增：走红后，美团数据显示，景德镇近一个月旅游订单量同比增长378%，其中21%的游客明确是“为鸡排哥而来”。
客流带动：国庆期间，景德镇累计接待游客超900万人次，同比增长8.75%，旅游花费超110亿元。核心景区陶溪川文创街区日均客流量突破8万人次，较去年同期翻了两番</t>
    <phoneticPr fontId="1" type="noConversion"/>
  </si>
  <si>
    <t>相关报道/数据</t>
    <phoneticPr fontId="1" type="noConversion"/>
  </si>
  <si>
    <t>说明</t>
    <phoneticPr fontId="1" type="noConversion"/>
  </si>
  <si>
    <t>江苏苏超</t>
    <phoneticPr fontId="1" type="noConversion"/>
  </si>
  <si>
    <t>山西黑神话悟空</t>
    <phoneticPr fontId="1" type="noConversion"/>
  </si>
  <si>
    <t>阿勒泰</t>
    <phoneticPr fontId="1" type="noConversion"/>
  </si>
  <si>
    <t>这么近那么美，周末到河北</t>
    <phoneticPr fontId="1" type="noConversion"/>
  </si>
  <si>
    <t>“江苏”词条热度密集，无明显峰期平缓期，不适合研究</t>
    <phoneticPr fontId="1" type="noConversion"/>
  </si>
  <si>
    <t>“山西”词条中无法找到黑神话悟空事件</t>
    <phoneticPr fontId="1" type="noConversion"/>
  </si>
  <si>
    <t>“阿勒泰”词条中无阿勒泰电影、旅游相关</t>
    <phoneticPr fontId="1" type="noConversion"/>
  </si>
  <si>
    <t>“河北”词条中无热梗、旅游相关</t>
    <phoneticPr fontId="1" type="noConversion"/>
  </si>
  <si>
    <t>沙县</t>
    <phoneticPr fontId="1" type="noConversion"/>
  </si>
  <si>
    <t>“沙县”词条中沙县小吃视频热度无法分离（有一刑事热点事件同期发生）</t>
    <phoneticPr fontId="1" type="noConversion"/>
  </si>
  <si>
    <t>淄博</t>
    <phoneticPr fontId="1" type="noConversion"/>
  </si>
  <si>
    <t>T_cool</t>
    <phoneticPr fontId="1" type="noConversion"/>
  </si>
  <si>
    <t>T_base</t>
    <phoneticPr fontId="1" type="noConversion"/>
  </si>
  <si>
    <t>T_peak</t>
    <phoneticPr fontId="1" type="noConversion"/>
  </si>
  <si>
    <t>2022/2/28-2023/2/28</t>
    <phoneticPr fontId="1" type="noConversion"/>
  </si>
  <si>
    <t>2023/7/19-2024/1/19</t>
    <phoneticPr fontId="1" type="noConversion"/>
  </si>
  <si>
    <t>T_base(一年）</t>
    <phoneticPr fontId="1" type="noConversion"/>
  </si>
  <si>
    <t>2022/10/1-2023/10/1</t>
    <phoneticPr fontId="1" type="noConversion"/>
  </si>
  <si>
    <t>2024/3/1-2024/9/1</t>
    <phoneticPr fontId="1" type="noConversion"/>
  </si>
  <si>
    <t>2024/7/1-2025/7/1</t>
    <phoneticPr fontId="1" type="noConversion"/>
  </si>
  <si>
    <t>2025/12/1-2026/3/1</t>
    <phoneticPr fontId="1" type="noConversion"/>
  </si>
  <si>
    <t>洛阳</t>
    <phoneticPr fontId="1" type="noConversion"/>
  </si>
  <si>
    <t>洛阳恭迎公主殿下回宫</t>
    <phoneticPr fontId="1" type="noConversion"/>
  </si>
  <si>
    <t>更正</t>
    <phoneticPr fontId="1" type="noConversion"/>
  </si>
  <si>
    <t>2022/12/1-2023/12/1</t>
    <phoneticPr fontId="1" type="noConversion"/>
  </si>
  <si>
    <t>榕江</t>
    <phoneticPr fontId="1" type="noConversion"/>
  </si>
  <si>
    <t>去除</t>
    <phoneticPr fontId="1" type="noConversion"/>
  </si>
  <si>
    <t>杭州</t>
    <phoneticPr fontId="1" type="noConversion"/>
  </si>
  <si>
    <t>2022/8/4-2023/8/4</t>
    <phoneticPr fontId="1" type="noConversion"/>
  </si>
  <si>
    <t>2023/11/6-2024/5/6</t>
    <phoneticPr fontId="1" type="noConversion"/>
  </si>
  <si>
    <t>泉州</t>
    <phoneticPr fontId="1" type="noConversion"/>
  </si>
  <si>
    <t>潮州</t>
    <phoneticPr fontId="1" type="noConversion"/>
  </si>
  <si>
    <t>佛山</t>
    <phoneticPr fontId="1" type="noConversion"/>
  </si>
  <si>
    <t>2022/7/17-2023/7/17</t>
    <phoneticPr fontId="1" type="noConversion"/>
  </si>
  <si>
    <t>2023/11/27-2024/5/27</t>
    <phoneticPr fontId="1" type="noConversion"/>
  </si>
  <si>
    <t>佛山电翰网络爆火</t>
    <phoneticPr fontId="1" type="noConversion"/>
  </si>
  <si>
    <t>衢州</t>
    <phoneticPr fontId="1" type="noConversion"/>
  </si>
  <si>
    <t>peak值太低（为80万）</t>
    <phoneticPr fontId="1" type="noConversion"/>
  </si>
  <si>
    <t>郑州</t>
    <phoneticPr fontId="1" type="noConversion"/>
  </si>
  <si>
    <t>大理</t>
    <phoneticPr fontId="1" type="noConversion"/>
  </si>
  <si>
    <t>江门</t>
    <phoneticPr fontId="1" type="noConversion"/>
  </si>
  <si>
    <t>萍乡</t>
    <phoneticPr fontId="1" type="noConversion"/>
  </si>
  <si>
    <t>南昌</t>
    <phoneticPr fontId="1" type="noConversion"/>
  </si>
  <si>
    <t>上海</t>
    <phoneticPr fontId="1" type="noConversion"/>
  </si>
  <si>
    <t>2023/1/13-2024/1/13</t>
    <phoneticPr fontId="1" type="noConversion"/>
  </si>
  <si>
    <t>2024/5/21-2024/11/21</t>
    <phoneticPr fontId="1" type="noConversion"/>
  </si>
  <si>
    <t>2023/9/26-2024/9/26</t>
    <phoneticPr fontId="1" type="noConversion"/>
  </si>
  <si>
    <t>2024/11/21-2025/5/21</t>
    <phoneticPr fontId="1" type="noConversion"/>
  </si>
  <si>
    <t>2023/1/1-2024/1/1</t>
    <phoneticPr fontId="1" type="noConversion"/>
  </si>
  <si>
    <t>2024/5/26-2024/8/26</t>
    <phoneticPr fontId="1" type="noConversion"/>
  </si>
  <si>
    <t>T_cool（半年）</t>
    <phoneticPr fontId="1" type="noConversion"/>
  </si>
  <si>
    <t>代表城市的热度特征</t>
    <phoneticPr fontId="1" type="noConversion"/>
  </si>
  <si>
    <t>T_end-T_start</t>
    <phoneticPr fontId="1" type="noConversion"/>
  </si>
  <si>
    <t>城市热度基础信息</t>
    <phoneticPr fontId="1" type="noConversion"/>
  </si>
  <si>
    <t>起势日</t>
    <phoneticPr fontId="1" type="noConversion"/>
  </si>
  <si>
    <t>热度且呈现持续性加速上升趋势的拐点日期</t>
    <phoneticPr fontId="1" type="noConversion"/>
  </si>
  <si>
    <t>冷却日</t>
    <phoneticPr fontId="1" type="noConversion"/>
  </si>
  <si>
    <t>热度跌回base水平</t>
    <phoneticPr fontId="1" type="noConversion"/>
  </si>
  <si>
    <t>爆发前1-3个月（除去预热期【热度爆发前紧邻的高于基期热度的一段时间】）</t>
    <phoneticPr fontId="1" type="noConversion"/>
  </si>
  <si>
    <t>三个热度时期</t>
    <phoneticPr fontId="1" type="noConversion"/>
  </si>
  <si>
    <t>冷却期</t>
    <phoneticPr fontId="1" type="noConversion"/>
  </si>
  <si>
    <t>爆发期</t>
    <phoneticPr fontId="1" type="noConversion"/>
  </si>
  <si>
    <t>基期</t>
    <phoneticPr fontId="1" type="noConversion"/>
  </si>
  <si>
    <t>[T_start,T_end]</t>
    <phoneticPr fontId="1" type="noConversion"/>
  </si>
  <si>
    <t>T_end后3-6个月</t>
    <phoneticPr fontId="1" type="noConversion"/>
  </si>
  <si>
    <t>一般一年，注意与T_peak相隔预热期</t>
    <phoneticPr fontId="1" type="noConversion"/>
  </si>
  <si>
    <t>AHI异常热度指数</t>
    <phoneticPr fontId="1" type="noConversion"/>
  </si>
  <si>
    <t>Abnormal Heat Index</t>
    <phoneticPr fontId="1" type="noConversion"/>
  </si>
  <si>
    <t>(peak-base)/base</t>
    <phoneticPr fontId="1" type="noConversion"/>
  </si>
  <si>
    <t>有效时间</t>
    <phoneticPr fontId="1" type="noConversion"/>
  </si>
  <si>
    <t>Base_bd</t>
    <phoneticPr fontId="1" type="noConversion"/>
  </si>
  <si>
    <t>[1350,1427]</t>
    <phoneticPr fontId="1" type="noConversion"/>
  </si>
  <si>
    <t>[716,791]</t>
    <phoneticPr fontId="1" type="noConversion"/>
  </si>
  <si>
    <t>[463,566]</t>
    <phoneticPr fontId="1" type="noConversion"/>
  </si>
  <si>
    <t>[798,870]</t>
    <phoneticPr fontId="1" type="noConversion"/>
  </si>
  <si>
    <t>[632,697]</t>
    <phoneticPr fontId="1" type="noConversion"/>
  </si>
  <si>
    <t>[627,676]</t>
    <phoneticPr fontId="1" type="noConversion"/>
  </si>
  <si>
    <t>[740,792]</t>
    <phoneticPr fontId="1" type="noConversion"/>
  </si>
  <si>
    <t>[1001,1057]</t>
    <phoneticPr fontId="1" type="noConversion"/>
  </si>
  <si>
    <t>[795,878]</t>
    <phoneticPr fontId="1" type="noConversion"/>
  </si>
  <si>
    <t>AHI_index_bd</t>
    <phoneticPr fontId="1" type="noConversion"/>
  </si>
  <si>
    <t>Base_dy</t>
    <phoneticPr fontId="1" type="noConversion"/>
  </si>
  <si>
    <t>抖音基期平均热度</t>
    <phoneticPr fontId="1" type="noConversion"/>
  </si>
  <si>
    <t>百度资讯指数基期平均热度</t>
    <phoneticPr fontId="1" type="noConversion"/>
  </si>
  <si>
    <t>T_base一年内平均值</t>
    <phoneticPr fontId="1" type="noConversion"/>
  </si>
  <si>
    <t>peak_dy/bd</t>
    <phoneticPr fontId="1" type="noConversion"/>
  </si>
  <si>
    <t>duration_dy</t>
    <phoneticPr fontId="1" type="noConversion"/>
  </si>
  <si>
    <t>网红事件绝对存活天数</t>
    <phoneticPr fontId="1" type="noConversion"/>
  </si>
  <si>
    <t>duration_bd</t>
    <phoneticPr fontId="1" type="noConversion"/>
  </si>
  <si>
    <t>百度资讯高频报道天数</t>
    <phoneticPr fontId="1" type="noConversion"/>
  </si>
  <si>
    <t>[T_start,T_end]内AHI_bd&gt;0.5的天数</t>
    <phoneticPr fontId="1" type="noConversion"/>
  </si>
  <si>
    <t>comulative heat_dy</t>
    <phoneticPr fontId="1" type="noConversion"/>
  </si>
  <si>
    <t>抖音积累热度</t>
    <phoneticPr fontId="1" type="noConversion"/>
  </si>
  <si>
    <t>AHI_dy</t>
    <phoneticPr fontId="1" type="noConversion"/>
  </si>
  <si>
    <t>comulative heat_bd</t>
    <phoneticPr fontId="1" type="noConversion"/>
  </si>
  <si>
    <t>百度积累热度</t>
    <phoneticPr fontId="1" type="noConversion"/>
  </si>
  <si>
    <t>0.5*peak_dy*duration_dy</t>
    <phoneticPr fontId="1" type="noConversion"/>
  </si>
  <si>
    <t>[T_start,T_end]内AHI_bd&gt;0的AHI求和</t>
    <phoneticPr fontId="1" type="noConversion"/>
  </si>
  <si>
    <t>z_peak_dy</t>
    <phoneticPr fontId="1" type="noConversion"/>
  </si>
  <si>
    <t>peak_dy</t>
    <phoneticPr fontId="1" type="noConversion"/>
  </si>
  <si>
    <t>peak_bd</t>
    <phoneticPr fontId="1" type="noConversion"/>
  </si>
  <si>
    <t>base_bd</t>
    <phoneticPr fontId="1" type="noConversion"/>
  </si>
  <si>
    <t>base_dy（/万）</t>
    <phoneticPr fontId="1" type="noConversion"/>
  </si>
  <si>
    <t>z_peak_bd</t>
    <phoneticPr fontId="1" type="noConversion"/>
  </si>
  <si>
    <t>duration_dy(/天）</t>
    <phoneticPr fontId="1" type="noConversion"/>
  </si>
  <si>
    <t>z_duration_dy</t>
    <phoneticPr fontId="1" type="noConversion"/>
  </si>
  <si>
    <t>z_duration_bd</t>
    <phoneticPr fontId="1" type="noConversion"/>
  </si>
  <si>
    <t>comulative_heat_dy</t>
    <phoneticPr fontId="1" type="noConversion"/>
  </si>
  <si>
    <t>z_comulative_heat_dy</t>
    <phoneticPr fontId="1" type="noConversion"/>
  </si>
  <si>
    <t>comulative_heat_bd</t>
    <phoneticPr fontId="1" type="noConversion"/>
  </si>
  <si>
    <t>z_comulative_heat_bd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</si>
</sst>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6" x14ac:knownFonts="1">
    <font>
      <sz val="12"/>
      <color theme="1"/>
      <name val="华文楷体"/>
      <family val="2"/>
      <charset val="134"/>
    </font>
    <font>
      <sz val="9"/>
      <name val="华文楷体"/>
      <family val="2"/>
      <charset val="134"/>
    </font>
    <font>
      <u/>
      <sz val="12"/>
      <color theme="10"/>
      <name val="华文楷体"/>
      <family val="2"/>
      <charset val="134"/>
    </font>
    <font>
      <sz val="12"/>
      <color rgb="FF0070C0"/>
      <name val="华文楷体"/>
      <family val="3"/>
      <charset val="134"/>
    </font>
    <font>
      <sz val="12"/>
      <color rgb="FF0070C0"/>
      <name val="华文楷体"/>
      <family val="2"/>
      <charset val="134"/>
    </font>
    <font>
      <sz val="12"/>
      <color rgb="FF2B2D31"/>
      <name val="楷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2" fillId="0" borderId="0" xfId="1">
      <alignment vertical="center"/>
    </xf>
    <xf numFmtId="17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6" fontId="0" fillId="3" borderId="0" xfId="0" applyNumberFormat="1" applyFill="1">
      <alignment vertical="center"/>
    </xf>
    <xf numFmtId="0" fontId="0" fillId="4" borderId="0" xfId="0" applyFill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239768</xdr:colOff>
      <xdr:row>16</xdr:row>
      <xdr:rowOff>174553</xdr:rowOff>
    </xdr:from>
    <xdr:to>
      <xdr:col>15</xdr:col>
      <xdr:colOff>16914</xdr:colOff>
      <xdr:row>30</xdr:row>
      <xdr:rowOff>42902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10BFFD7-9273-A996-7BFE-68B1E5ACC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87613" y="3803907"/>
          <a:ext cx="5410034" cy="28572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168087</xdr:rowOff>
    </xdr:from>
    <xdr:to>
      <xdr:col>7</xdr:col>
      <xdr:colOff>31143</xdr:colOff>
      <xdr:row>20</xdr:row>
      <xdr:rowOff>89645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8CBCC58-D3A7-5853-BCCA-389882AFE7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082" t="2184" r="483" b="1488"/>
        <a:stretch>
          <a:fillRect/>
        </a:stretch>
      </xdr:blipFill>
      <xdr:spPr>
        <a:xfrm>
          <a:off x="0" y="4880161"/>
          <a:ext cx="7062835" cy="29023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457244</xdr:colOff>
      <xdr:row>18</xdr:row>
      <xdr:rowOff>146184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074980B-3DB6-41BA-B6D3-C9562613B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581944" cy="40038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34820</xdr:rowOff>
    </xdr:from>
    <xdr:to>
      <xdr:col>11</xdr:col>
      <xdr:colOff>323850</xdr:colOff>
      <xdr:row>39</xdr:row>
      <xdr:rowOff>28935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D5871FCD-3C6F-4833-B90A-357346503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06758"/>
          <a:ext cx="7448550" cy="4280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m.gmw.cn/2024-10/20/content_1303876512.ht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5A07E-F764-4A57-9591-1CCC6FF88A85}">
  <dimension ref="A1:W28"/>
  <sheetViews>
    <sheetView tabSelected="1" topLeftCell="T1" zoomScale="145" zoomScaleNormal="145" workbookViewId="0">
      <selection activeCell="Z7" sqref="Z7"/>
    </sheetView>
  </sheetViews>
  <sheetFormatPr defaultRowHeight="16.899999999999999" x14ac:dyDescent="0.55000000000000004"/>
  <cols>
    <col min="4" max="7" width="9.73046875" customWidth="1"/>
    <col min="8" max="9" width="11.265625" bestFit="1" customWidth="1"/>
    <col min="10" max="17" width="11.265625" customWidth="1"/>
    <col min="18" max="18" width="13" customWidth="1"/>
    <col min="19" max="22" width="11.265625" customWidth="1"/>
  </cols>
  <sheetData>
    <row r="1" spans="1:23" x14ac:dyDescent="0.55000000000000004">
      <c r="A1" t="s">
        <v>24</v>
      </c>
      <c r="B1" s="11" t="s">
        <v>136</v>
      </c>
      <c r="C1" s="11" t="s">
        <v>135</v>
      </c>
      <c r="D1" s="9" t="s">
        <v>133</v>
      </c>
      <c r="E1" s="9" t="s">
        <v>132</v>
      </c>
      <c r="F1" s="9" t="s">
        <v>134</v>
      </c>
      <c r="G1" s="9" t="s">
        <v>137</v>
      </c>
      <c r="H1" s="11" t="s">
        <v>25</v>
      </c>
      <c r="I1" s="11" t="s">
        <v>26</v>
      </c>
      <c r="J1" s="10" t="s">
        <v>138</v>
      </c>
      <c r="K1" s="10" t="s">
        <v>139</v>
      </c>
      <c r="L1" s="10" t="s">
        <v>122</v>
      </c>
      <c r="M1" s="10" t="s">
        <v>140</v>
      </c>
      <c r="N1" s="10" t="s">
        <v>141</v>
      </c>
      <c r="O1" s="10" t="s">
        <v>142</v>
      </c>
      <c r="P1" s="10" t="s">
        <v>143</v>
      </c>
      <c r="Q1" s="10" t="s">
        <v>144</v>
      </c>
      <c r="R1" t="s">
        <v>114</v>
      </c>
      <c r="S1" s="8" t="s">
        <v>50</v>
      </c>
      <c r="T1" s="8" t="s">
        <v>47</v>
      </c>
      <c r="U1" s="8" t="s">
        <v>84</v>
      </c>
      <c r="V1" s="9" t="s">
        <v>127</v>
      </c>
      <c r="W1" t="s">
        <v>28</v>
      </c>
    </row>
    <row r="2" spans="1:23" x14ac:dyDescent="0.55000000000000004">
      <c r="A2" t="s">
        <v>15</v>
      </c>
      <c r="B2">
        <v>18.5</v>
      </c>
      <c r="C2">
        <v>20.8</v>
      </c>
      <c r="D2">
        <v>507</v>
      </c>
      <c r="E2">
        <f>(D2-1462.5556)/863.61668</f>
        <v>-1.1064580179252674</v>
      </c>
      <c r="F2">
        <v>640.79999999999995</v>
      </c>
      <c r="G2">
        <f>(F2-2255.3556)/2318</f>
        <v>-0.69652959447799823</v>
      </c>
      <c r="H2" s="1">
        <v>45910</v>
      </c>
      <c r="I2" s="1">
        <v>45987</v>
      </c>
      <c r="J2" s="7">
        <f t="shared" ref="J2:J10" si="0">DATEDIF(H2,I2,"D")</f>
        <v>77</v>
      </c>
      <c r="K2" s="7">
        <f>(J2-70.22)/17.04</f>
        <v>0.39788732394366205</v>
      </c>
      <c r="L2" s="7">
        <v>77</v>
      </c>
      <c r="M2" s="7">
        <f>(L2-51.78)/32.2830365</f>
        <v>0.78121523667700832</v>
      </c>
      <c r="N2" s="7">
        <f>PRODUCT(0.5,D2,J2)</f>
        <v>19519.5</v>
      </c>
      <c r="O2" s="7">
        <f>(N2-53625.44)/41040.8</f>
        <v>-0.83102522367985032</v>
      </c>
      <c r="P2" s="7">
        <v>602.64</v>
      </c>
      <c r="Q2" s="7">
        <f>(P2-1059.94)/1452.72722</f>
        <v>-0.31478724546787251</v>
      </c>
      <c r="R2" t="s">
        <v>105</v>
      </c>
      <c r="S2" s="1" t="s">
        <v>53</v>
      </c>
      <c r="T2" s="1"/>
      <c r="U2" s="1" t="s">
        <v>54</v>
      </c>
      <c r="V2" s="7">
        <f>QUOTIENT(D2-B2,B2)</f>
        <v>26</v>
      </c>
      <c r="W2" t="s">
        <v>29</v>
      </c>
    </row>
    <row r="3" spans="1:23" x14ac:dyDescent="0.55000000000000004">
      <c r="A3" t="s">
        <v>27</v>
      </c>
      <c r="B3">
        <v>75</v>
      </c>
      <c r="C3">
        <v>54.2</v>
      </c>
      <c r="D3">
        <v>2479</v>
      </c>
      <c r="E3">
        <f t="shared" ref="E3:E10" si="1">(D3-1462.5556)/863.61668</f>
        <v>1.1769624458851351</v>
      </c>
      <c r="F3">
        <v>3465.6</v>
      </c>
      <c r="G3">
        <f t="shared" ref="G3:G10" si="2">(F3-2255.3556)/2318</f>
        <v>0.52210716134598789</v>
      </c>
      <c r="H3" s="1">
        <v>45276</v>
      </c>
      <c r="I3" s="1">
        <v>45351</v>
      </c>
      <c r="J3" s="7">
        <f t="shared" si="0"/>
        <v>75</v>
      </c>
      <c r="K3" s="7">
        <f t="shared" ref="K3:K10" si="3">(J3-70.22)/17.04</f>
        <v>0.28051643192488274</v>
      </c>
      <c r="L3" s="7">
        <v>71</v>
      </c>
      <c r="M3" s="7">
        <f t="shared" ref="M3:M10" si="4">(L3-51.78)/32.2830365</f>
        <v>0.59535911375622919</v>
      </c>
      <c r="N3" s="7">
        <f t="shared" ref="N3:N10" si="5">PRODUCT(0.5,D3,J3)</f>
        <v>92962.5</v>
      </c>
      <c r="O3" s="7">
        <f t="shared" ref="O3:O10" si="6">(N3-53625.44)/41040.8</f>
        <v>0.95848667667296916</v>
      </c>
      <c r="P3" s="7">
        <v>725.93</v>
      </c>
      <c r="Q3" s="7">
        <f t="shared" ref="Q3:Q10" si="7">(P3-1059.94)/1452.72722</f>
        <v>-0.22991928243762108</v>
      </c>
      <c r="R3" t="s">
        <v>106</v>
      </c>
      <c r="S3" s="1" t="s">
        <v>51</v>
      </c>
      <c r="T3" s="1"/>
      <c r="U3" s="1" t="s">
        <v>52</v>
      </c>
      <c r="V3" s="7">
        <f>QUOTIENT(D3-B3,B3)</f>
        <v>32</v>
      </c>
      <c r="W3" t="s">
        <v>30</v>
      </c>
    </row>
    <row r="4" spans="1:23" x14ac:dyDescent="0.55000000000000004">
      <c r="A4" t="s">
        <v>44</v>
      </c>
      <c r="B4">
        <v>11</v>
      </c>
      <c r="C4">
        <v>9.4</v>
      </c>
      <c r="D4">
        <v>2746</v>
      </c>
      <c r="E4">
        <f t="shared" si="1"/>
        <v>1.48612738697914</v>
      </c>
      <c r="F4">
        <v>3398.9</v>
      </c>
      <c r="G4">
        <f t="shared" si="2"/>
        <v>0.49333235547886117</v>
      </c>
      <c r="H4" s="1">
        <v>45023</v>
      </c>
      <c r="I4" s="1">
        <v>45126</v>
      </c>
      <c r="J4" s="7">
        <f t="shared" si="0"/>
        <v>103</v>
      </c>
      <c r="K4" s="7">
        <f t="shared" si="3"/>
        <v>1.9237089201877935</v>
      </c>
      <c r="L4" s="7">
        <v>102</v>
      </c>
      <c r="M4" s="7">
        <f t="shared" si="4"/>
        <v>1.5556157488469213</v>
      </c>
      <c r="N4" s="7">
        <f t="shared" si="5"/>
        <v>141419</v>
      </c>
      <c r="O4" s="7">
        <f t="shared" si="6"/>
        <v>2.1391775988772146</v>
      </c>
      <c r="P4" s="7">
        <v>2715.58</v>
      </c>
      <c r="Q4" s="7">
        <f t="shared" si="7"/>
        <v>1.1396771377354655</v>
      </c>
      <c r="R4" t="s">
        <v>107</v>
      </c>
      <c r="S4" s="1" t="s">
        <v>48</v>
      </c>
      <c r="T4" s="1"/>
      <c r="U4" s="1" t="s">
        <v>49</v>
      </c>
      <c r="V4" s="7">
        <f>QUOTIENT(D4-B4,B4)</f>
        <v>248</v>
      </c>
    </row>
    <row r="5" spans="1:23" x14ac:dyDescent="0.55000000000000004">
      <c r="A5" t="s">
        <v>55</v>
      </c>
      <c r="B5">
        <v>45</v>
      </c>
      <c r="C5">
        <v>52</v>
      </c>
      <c r="D5">
        <v>375</v>
      </c>
      <c r="E5">
        <f t="shared" si="1"/>
        <v>-1.2593036067807304</v>
      </c>
      <c r="F5">
        <v>688.6</v>
      </c>
      <c r="G5">
        <f t="shared" si="2"/>
        <v>-0.67590836928386533</v>
      </c>
      <c r="H5" s="1">
        <v>45300</v>
      </c>
      <c r="I5" s="1">
        <v>45352</v>
      </c>
      <c r="J5" s="7">
        <f t="shared" si="0"/>
        <v>52</v>
      </c>
      <c r="K5" s="7">
        <f t="shared" si="3"/>
        <v>-1.0692488262910798</v>
      </c>
      <c r="L5" s="7">
        <v>20</v>
      </c>
      <c r="M5" s="7">
        <f t="shared" si="4"/>
        <v>-0.98441793107039355</v>
      </c>
      <c r="N5" s="7">
        <f t="shared" si="5"/>
        <v>9750</v>
      </c>
      <c r="O5" s="7">
        <f t="shared" si="6"/>
        <v>-1.0690688290676595</v>
      </c>
      <c r="P5" s="7">
        <v>51.63</v>
      </c>
      <c r="Q5" s="7">
        <f t="shared" si="7"/>
        <v>-0.69408075109930145</v>
      </c>
      <c r="R5" t="s">
        <v>111</v>
      </c>
      <c r="S5" s="1" t="s">
        <v>58</v>
      </c>
      <c r="U5" s="1" t="s">
        <v>52</v>
      </c>
      <c r="V5" s="7">
        <f>QUOTIENT(D5-B5,B5)</f>
        <v>7</v>
      </c>
    </row>
    <row r="6" spans="1:23" x14ac:dyDescent="0.55000000000000004">
      <c r="A6" t="s">
        <v>61</v>
      </c>
      <c r="B6">
        <v>140</v>
      </c>
      <c r="C6">
        <v>157.9</v>
      </c>
      <c r="D6">
        <v>1766</v>
      </c>
      <c r="E6">
        <f t="shared" si="1"/>
        <v>0.35136468184009612</v>
      </c>
      <c r="F6">
        <v>7352.8</v>
      </c>
      <c r="G6">
        <f t="shared" si="2"/>
        <v>2.199070060396894</v>
      </c>
      <c r="H6" s="1">
        <v>45187</v>
      </c>
      <c r="I6" s="1">
        <v>45236</v>
      </c>
      <c r="J6" s="7">
        <f t="shared" si="0"/>
        <v>49</v>
      </c>
      <c r="K6" s="7">
        <f t="shared" si="3"/>
        <v>-1.2453051643192488</v>
      </c>
      <c r="L6" s="7">
        <v>21</v>
      </c>
      <c r="M6" s="7">
        <f t="shared" si="4"/>
        <v>-0.95344191058359706</v>
      </c>
      <c r="N6" s="7">
        <f t="shared" si="5"/>
        <v>43267</v>
      </c>
      <c r="O6" s="7">
        <f t="shared" si="6"/>
        <v>-0.25239371552211459</v>
      </c>
      <c r="P6" s="7">
        <v>124.26</v>
      </c>
      <c r="Q6" s="7">
        <f t="shared" si="7"/>
        <v>-0.64408512976028631</v>
      </c>
      <c r="R6" t="s">
        <v>110</v>
      </c>
      <c r="S6" s="1" t="s">
        <v>62</v>
      </c>
      <c r="U6" s="1" t="s">
        <v>63</v>
      </c>
      <c r="V6" s="7">
        <f>QUOTIENT(D6-B6,B6)</f>
        <v>11</v>
      </c>
    </row>
    <row r="7" spans="1:23" x14ac:dyDescent="0.55000000000000004">
      <c r="A7" t="s">
        <v>66</v>
      </c>
      <c r="B7">
        <v>35</v>
      </c>
      <c r="C7">
        <v>30.7</v>
      </c>
      <c r="D7">
        <v>1374</v>
      </c>
      <c r="E7">
        <f t="shared" si="1"/>
        <v>-0.10254040021552145</v>
      </c>
      <c r="F7">
        <v>59.3</v>
      </c>
      <c r="G7">
        <f t="shared" si="2"/>
        <v>-0.94739240724762708</v>
      </c>
      <c r="H7" s="1">
        <v>45192</v>
      </c>
      <c r="I7" s="1">
        <v>45257</v>
      </c>
      <c r="J7" s="7">
        <f t="shared" si="0"/>
        <v>65</v>
      </c>
      <c r="K7" s="7">
        <f t="shared" si="3"/>
        <v>-0.30633802816901401</v>
      </c>
      <c r="L7" s="7">
        <v>1</v>
      </c>
      <c r="M7" s="7">
        <f t="shared" si="4"/>
        <v>-1.5729623203195275</v>
      </c>
      <c r="N7" s="7">
        <f t="shared" si="5"/>
        <v>44655</v>
      </c>
      <c r="O7" s="7">
        <f t="shared" si="6"/>
        <v>-0.21857371201341108</v>
      </c>
      <c r="P7" s="7">
        <v>2.3199999999999998</v>
      </c>
      <c r="Q7" s="7">
        <f t="shared" si="7"/>
        <v>-0.72802380614854878</v>
      </c>
      <c r="R7" t="s">
        <v>109</v>
      </c>
      <c r="S7" s="1" t="s">
        <v>67</v>
      </c>
      <c r="U7" s="1" t="s">
        <v>68</v>
      </c>
      <c r="V7" s="7">
        <f>QUOTIENT(D7-B7,B7)</f>
        <v>38</v>
      </c>
    </row>
    <row r="8" spans="1:23" x14ac:dyDescent="0.55000000000000004">
      <c r="A8" t="s">
        <v>3</v>
      </c>
      <c r="B8">
        <v>6.5</v>
      </c>
      <c r="C8">
        <v>5</v>
      </c>
      <c r="D8">
        <v>651</v>
      </c>
      <c r="E8">
        <f t="shared" si="1"/>
        <v>-0.93971737553748957</v>
      </c>
      <c r="F8">
        <v>999.1</v>
      </c>
      <c r="G8">
        <f t="shared" si="2"/>
        <v>-0.54195668679896458</v>
      </c>
      <c r="H8" s="1">
        <v>45358</v>
      </c>
      <c r="I8" s="1">
        <v>45430</v>
      </c>
      <c r="J8" s="7">
        <f t="shared" si="0"/>
        <v>72</v>
      </c>
      <c r="K8" s="7">
        <f t="shared" si="3"/>
        <v>0.10446009389671369</v>
      </c>
      <c r="L8" s="7">
        <v>68</v>
      </c>
      <c r="M8" s="7">
        <f t="shared" si="4"/>
        <v>0.50243105229583962</v>
      </c>
      <c r="N8" s="7">
        <f t="shared" si="5"/>
        <v>23436</v>
      </c>
      <c r="O8" s="7">
        <f t="shared" si="6"/>
        <v>-0.73559579735287817</v>
      </c>
      <c r="P8" s="7">
        <v>824.13</v>
      </c>
      <c r="Q8" s="7">
        <f t="shared" si="7"/>
        <v>-0.1623222837388564</v>
      </c>
      <c r="R8" t="s">
        <v>108</v>
      </c>
      <c r="S8" s="1" t="s">
        <v>78</v>
      </c>
      <c r="U8" s="1" t="s">
        <v>79</v>
      </c>
      <c r="V8" s="7">
        <f>QUOTIENT(D8-B8,B8)</f>
        <v>99</v>
      </c>
    </row>
    <row r="9" spans="1:23" x14ac:dyDescent="0.55000000000000004">
      <c r="A9" t="s">
        <v>13</v>
      </c>
      <c r="B9">
        <v>7</v>
      </c>
      <c r="C9">
        <v>4.4000000000000004</v>
      </c>
      <c r="D9">
        <v>2065</v>
      </c>
      <c r="E9">
        <f t="shared" si="1"/>
        <v>0.69758309902027382</v>
      </c>
      <c r="F9">
        <v>2947.9</v>
      </c>
      <c r="G9">
        <f t="shared" si="2"/>
        <v>0.2987680759275238</v>
      </c>
      <c r="H9" s="1">
        <v>45561</v>
      </c>
      <c r="I9" s="1">
        <v>45617</v>
      </c>
      <c r="J9" s="7">
        <f t="shared" si="0"/>
        <v>56</v>
      </c>
      <c r="K9" s="7">
        <f t="shared" si="3"/>
        <v>-0.83450704225352113</v>
      </c>
      <c r="L9" s="7">
        <v>55</v>
      </c>
      <c r="M9" s="7">
        <f t="shared" si="4"/>
        <v>9.9742785967484773E-2</v>
      </c>
      <c r="N9" s="7">
        <f t="shared" si="5"/>
        <v>57820</v>
      </c>
      <c r="O9" s="7">
        <f t="shared" si="6"/>
        <v>0.10220463538722435</v>
      </c>
      <c r="P9" s="7">
        <v>4238.8999999999996</v>
      </c>
      <c r="Q9" s="7">
        <f t="shared" si="7"/>
        <v>2.1882704173464855</v>
      </c>
      <c r="R9" t="s">
        <v>112</v>
      </c>
      <c r="S9" s="1" t="s">
        <v>80</v>
      </c>
      <c r="U9" s="1" t="s">
        <v>81</v>
      </c>
      <c r="V9" s="7">
        <f>QUOTIENT(D9-B9,B9)</f>
        <v>294</v>
      </c>
    </row>
    <row r="10" spans="1:23" x14ac:dyDescent="0.55000000000000004">
      <c r="A10" t="s">
        <v>6</v>
      </c>
      <c r="B10">
        <v>17.600000000000001</v>
      </c>
      <c r="C10">
        <v>30.4</v>
      </c>
      <c r="D10">
        <v>1200</v>
      </c>
      <c r="E10">
        <f t="shared" si="1"/>
        <v>-0.30401867643408637</v>
      </c>
      <c r="F10">
        <v>745.2</v>
      </c>
      <c r="G10">
        <f t="shared" si="2"/>
        <v>-0.65149076790336491</v>
      </c>
      <c r="H10" s="1">
        <v>45355</v>
      </c>
      <c r="I10" s="1">
        <v>45438</v>
      </c>
      <c r="J10" s="7">
        <f t="shared" si="0"/>
        <v>83</v>
      </c>
      <c r="K10" s="7">
        <f t="shared" si="3"/>
        <v>0.75000000000000011</v>
      </c>
      <c r="L10" s="7">
        <v>51</v>
      </c>
      <c r="M10" s="7">
        <f t="shared" si="4"/>
        <v>-2.4161295979701323E-2</v>
      </c>
      <c r="N10" s="7">
        <f t="shared" si="5"/>
        <v>49800</v>
      </c>
      <c r="O10" s="7">
        <f t="shared" si="6"/>
        <v>-9.3210658661624576E-2</v>
      </c>
      <c r="P10" s="7">
        <v>254.11</v>
      </c>
      <c r="Q10" s="7">
        <f t="shared" si="7"/>
        <v>-0.5547015220104432</v>
      </c>
      <c r="R10" t="s">
        <v>113</v>
      </c>
      <c r="S10" s="1" t="s">
        <v>82</v>
      </c>
      <c r="U10" s="1" t="s">
        <v>83</v>
      </c>
      <c r="V10" s="7">
        <f>QUOTIENT(D10-B10,B10)</f>
        <v>67</v>
      </c>
      <c r="W10" s="13"/>
    </row>
    <row r="11" spans="1:23" x14ac:dyDescent="0.55000000000000004">
      <c r="D11">
        <f>AVERAGE(D2:D10)</f>
        <v>1462.5555555555557</v>
      </c>
      <c r="F11">
        <f>AVERAGE(F2:F10)</f>
        <v>2255.3555555555558</v>
      </c>
      <c r="G11" s="14"/>
      <c r="J11" s="7">
        <f>AVERAGE(J2:J10)</f>
        <v>70.222222222222229</v>
      </c>
      <c r="L11" s="7">
        <f>AVERAGE(L2:L10)</f>
        <v>51.777777777777779</v>
      </c>
      <c r="N11" s="7">
        <f>AVERAGE(N2:N10)</f>
        <v>53625.444444444445</v>
      </c>
      <c r="P11" s="7">
        <f>AVERAGE(P2:P10)</f>
        <v>1059.9444444444443</v>
      </c>
    </row>
    <row r="12" spans="1:23" x14ac:dyDescent="0.55000000000000004">
      <c r="A12" s="5"/>
      <c r="D12">
        <f>STDEV(D2:D10)</f>
        <v>863.61668451795094</v>
      </c>
      <c r="F12" s="14">
        <f>STDEV(F2:F10)</f>
        <v>2317.8347552786799</v>
      </c>
      <c r="G12" s="1"/>
      <c r="H12" s="14"/>
      <c r="I12" s="14"/>
      <c r="J12" s="7">
        <f>STDEV(J2:J10)</f>
        <v>17.035094494731879</v>
      </c>
      <c r="L12">
        <f>STDEV(L2:L10)</f>
        <v>32.283036481168317</v>
      </c>
      <c r="N12" s="7">
        <f>STDEV(N2:N10)</f>
        <v>41040.802152739139</v>
      </c>
      <c r="P12">
        <f>STDEV(P2:P10)</f>
        <v>1452.7272192768253</v>
      </c>
    </row>
    <row r="13" spans="1:23" x14ac:dyDescent="0.55000000000000004">
      <c r="A13" s="11"/>
      <c r="B13" s="11" t="s">
        <v>87</v>
      </c>
      <c r="C13" s="11"/>
    </row>
    <row r="14" spans="1:23" x14ac:dyDescent="0.55000000000000004">
      <c r="A14" t="s">
        <v>115</v>
      </c>
      <c r="B14" t="s">
        <v>116</v>
      </c>
      <c r="F14" t="s">
        <v>92</v>
      </c>
    </row>
    <row r="15" spans="1:23" x14ac:dyDescent="0.55000000000000004">
      <c r="A15" t="s">
        <v>104</v>
      </c>
      <c r="B15" t="s">
        <v>117</v>
      </c>
      <c r="F15" t="s">
        <v>118</v>
      </c>
    </row>
    <row r="16" spans="1:23" x14ac:dyDescent="0.55000000000000004">
      <c r="A16" t="s">
        <v>25</v>
      </c>
      <c r="B16" t="s">
        <v>88</v>
      </c>
      <c r="E16" s="12"/>
      <c r="F16" s="12" t="s">
        <v>89</v>
      </c>
    </row>
    <row r="17" spans="1:6" x14ac:dyDescent="0.55000000000000004">
      <c r="A17" t="s">
        <v>26</v>
      </c>
      <c r="B17" t="s">
        <v>90</v>
      </c>
      <c r="E17" s="12"/>
      <c r="F17" s="12" t="s">
        <v>91</v>
      </c>
    </row>
    <row r="18" spans="1:6" x14ac:dyDescent="0.55000000000000004">
      <c r="A18" s="9"/>
      <c r="B18" s="9" t="s">
        <v>85</v>
      </c>
      <c r="C18" s="9"/>
    </row>
    <row r="19" spans="1:6" x14ac:dyDescent="0.55000000000000004">
      <c r="A19" t="s">
        <v>101</v>
      </c>
      <c r="B19" t="s">
        <v>100</v>
      </c>
      <c r="F19" t="s">
        <v>102</v>
      </c>
    </row>
    <row r="20" spans="1:6" x14ac:dyDescent="0.55000000000000004">
      <c r="A20" t="s">
        <v>119</v>
      </c>
      <c r="B20" t="s">
        <v>10</v>
      </c>
    </row>
    <row r="21" spans="1:6" x14ac:dyDescent="0.55000000000000004">
      <c r="A21" t="s">
        <v>120</v>
      </c>
      <c r="B21" t="s">
        <v>103</v>
      </c>
      <c r="C21" t="s">
        <v>121</v>
      </c>
      <c r="F21" t="s">
        <v>86</v>
      </c>
    </row>
    <row r="22" spans="1:6" x14ac:dyDescent="0.55000000000000004">
      <c r="A22" t="s">
        <v>122</v>
      </c>
      <c r="B22" t="s">
        <v>123</v>
      </c>
      <c r="F22" t="s">
        <v>124</v>
      </c>
    </row>
    <row r="23" spans="1:6" x14ac:dyDescent="0.55000000000000004">
      <c r="A23" t="s">
        <v>125</v>
      </c>
      <c r="B23" t="s">
        <v>126</v>
      </c>
      <c r="F23" t="s">
        <v>130</v>
      </c>
    </row>
    <row r="24" spans="1:6" x14ac:dyDescent="0.55000000000000004">
      <c r="A24" t="s">
        <v>128</v>
      </c>
      <c r="B24" t="s">
        <v>129</v>
      </c>
      <c r="F24" t="s">
        <v>131</v>
      </c>
    </row>
    <row r="25" spans="1:6" x14ac:dyDescent="0.55000000000000004">
      <c r="A25" s="8"/>
      <c r="B25" s="8" t="s">
        <v>93</v>
      </c>
      <c r="C25" s="8"/>
    </row>
    <row r="26" spans="1:6" x14ac:dyDescent="0.55000000000000004">
      <c r="A26" t="s">
        <v>46</v>
      </c>
      <c r="B26" t="s">
        <v>96</v>
      </c>
      <c r="D26" t="s">
        <v>99</v>
      </c>
    </row>
    <row r="27" spans="1:6" x14ac:dyDescent="0.55000000000000004">
      <c r="A27" t="s">
        <v>47</v>
      </c>
      <c r="B27" t="s">
        <v>95</v>
      </c>
      <c r="D27" t="s">
        <v>97</v>
      </c>
    </row>
    <row r="28" spans="1:6" x14ac:dyDescent="0.55000000000000004">
      <c r="A28" t="s">
        <v>45</v>
      </c>
      <c r="B28" t="s">
        <v>94</v>
      </c>
      <c r="D28" t="s">
        <v>98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EB66D-98C4-463A-BCAA-97F3F0DBD97B}">
  <dimension ref="A1:K27"/>
  <sheetViews>
    <sheetView zoomScale="70" zoomScaleNormal="70" workbookViewId="0">
      <selection activeCell="B4" sqref="B4"/>
    </sheetView>
  </sheetViews>
  <sheetFormatPr defaultRowHeight="16.899999999999999" x14ac:dyDescent="0.55000000000000004"/>
  <cols>
    <col min="2" max="3" width="16.53125" customWidth="1"/>
    <col min="4" max="4" width="11.265625" bestFit="1" customWidth="1"/>
    <col min="5" max="5" width="11.265625" customWidth="1"/>
    <col min="6" max="6" width="24.53125" customWidth="1"/>
    <col min="10" max="10" width="10.3984375" bestFit="1" customWidth="1"/>
  </cols>
  <sheetData>
    <row r="1" spans="1:11" ht="50.65" x14ac:dyDescent="0.55000000000000004">
      <c r="A1" t="s">
        <v>0</v>
      </c>
      <c r="B1" t="s">
        <v>1</v>
      </c>
      <c r="C1" t="s">
        <v>17</v>
      </c>
      <c r="D1" t="s">
        <v>2</v>
      </c>
      <c r="E1" s="2" t="s">
        <v>11</v>
      </c>
      <c r="F1" t="s">
        <v>32</v>
      </c>
    </row>
    <row r="2" spans="1:11" x14ac:dyDescent="0.55000000000000004">
      <c r="A2" t="s">
        <v>3</v>
      </c>
      <c r="B2" t="s">
        <v>4</v>
      </c>
      <c r="C2" t="s">
        <v>20</v>
      </c>
      <c r="D2" t="s">
        <v>5</v>
      </c>
      <c r="E2">
        <v>650</v>
      </c>
    </row>
    <row r="3" spans="1:11" x14ac:dyDescent="0.55000000000000004">
      <c r="A3" t="s">
        <v>6</v>
      </c>
      <c r="B3" t="s">
        <v>7</v>
      </c>
      <c r="C3" t="s">
        <v>18</v>
      </c>
      <c r="D3" s="1" t="s">
        <v>5</v>
      </c>
      <c r="E3">
        <v>1200</v>
      </c>
    </row>
    <row r="4" spans="1:11" x14ac:dyDescent="0.55000000000000004">
      <c r="B4" t="s">
        <v>8</v>
      </c>
      <c r="C4" t="s">
        <v>19</v>
      </c>
      <c r="D4" s="1" t="s">
        <v>9</v>
      </c>
      <c r="E4">
        <v>1325</v>
      </c>
    </row>
    <row r="5" spans="1:11" x14ac:dyDescent="0.55000000000000004">
      <c r="A5" t="s">
        <v>13</v>
      </c>
      <c r="B5" t="s">
        <v>14</v>
      </c>
      <c r="C5" t="s">
        <v>22</v>
      </c>
      <c r="D5" s="4">
        <v>45566</v>
      </c>
      <c r="E5">
        <v>2065</v>
      </c>
      <c r="F5" s="3" t="s">
        <v>12</v>
      </c>
    </row>
    <row r="6" spans="1:11" ht="253.15" x14ac:dyDescent="0.55000000000000004">
      <c r="A6" t="s">
        <v>15</v>
      </c>
      <c r="B6" t="s">
        <v>16</v>
      </c>
      <c r="C6" t="s">
        <v>18</v>
      </c>
      <c r="D6" t="s">
        <v>23</v>
      </c>
      <c r="E6">
        <v>405</v>
      </c>
      <c r="F6" s="2" t="s">
        <v>31</v>
      </c>
    </row>
    <row r="7" spans="1:11" x14ac:dyDescent="0.55000000000000004">
      <c r="C7" t="s">
        <v>21</v>
      </c>
      <c r="H7" s="6" t="s">
        <v>57</v>
      </c>
      <c r="I7" t="s">
        <v>55</v>
      </c>
      <c r="J7" s="1">
        <v>45300</v>
      </c>
      <c r="K7" t="s">
        <v>56</v>
      </c>
    </row>
    <row r="8" spans="1:11" x14ac:dyDescent="0.55000000000000004">
      <c r="I8" t="s">
        <v>59</v>
      </c>
      <c r="J8" t="s">
        <v>60</v>
      </c>
    </row>
    <row r="9" spans="1:11" x14ac:dyDescent="0.55000000000000004">
      <c r="I9" t="s">
        <v>64</v>
      </c>
      <c r="J9" t="s">
        <v>60</v>
      </c>
    </row>
    <row r="10" spans="1:11" x14ac:dyDescent="0.55000000000000004">
      <c r="I10" t="s">
        <v>65</v>
      </c>
      <c r="J10" t="s">
        <v>60</v>
      </c>
    </row>
    <row r="11" spans="1:11" x14ac:dyDescent="0.55000000000000004">
      <c r="I11" t="s">
        <v>66</v>
      </c>
      <c r="J11" s="1">
        <v>45192</v>
      </c>
      <c r="K11" t="s">
        <v>69</v>
      </c>
    </row>
    <row r="12" spans="1:11" x14ac:dyDescent="0.55000000000000004">
      <c r="I12" t="s">
        <v>70</v>
      </c>
      <c r="J12" t="s">
        <v>60</v>
      </c>
      <c r="K12" t="s">
        <v>71</v>
      </c>
    </row>
    <row r="13" spans="1:11" x14ac:dyDescent="0.55000000000000004">
      <c r="I13" t="s">
        <v>72</v>
      </c>
      <c r="J13" t="s">
        <v>60</v>
      </c>
    </row>
    <row r="14" spans="1:11" x14ac:dyDescent="0.55000000000000004">
      <c r="I14" t="s">
        <v>73</v>
      </c>
      <c r="J14" t="s">
        <v>60</v>
      </c>
    </row>
    <row r="15" spans="1:11" x14ac:dyDescent="0.55000000000000004">
      <c r="I15" t="s">
        <v>74</v>
      </c>
      <c r="J15" t="s">
        <v>60</v>
      </c>
    </row>
    <row r="16" spans="1:11" x14ac:dyDescent="0.55000000000000004">
      <c r="I16" t="s">
        <v>75</v>
      </c>
      <c r="J16" t="s">
        <v>60</v>
      </c>
    </row>
    <row r="17" spans="1:10" x14ac:dyDescent="0.55000000000000004">
      <c r="I17" t="s">
        <v>76</v>
      </c>
      <c r="J17" t="s">
        <v>60</v>
      </c>
    </row>
    <row r="18" spans="1:10" x14ac:dyDescent="0.55000000000000004">
      <c r="I18" t="s">
        <v>77</v>
      </c>
      <c r="J18" t="s">
        <v>60</v>
      </c>
    </row>
    <row r="22" spans="1:10" x14ac:dyDescent="0.55000000000000004">
      <c r="A22" s="5" t="s">
        <v>33</v>
      </c>
    </row>
    <row r="23" spans="1:10" x14ac:dyDescent="0.55000000000000004">
      <c r="A23" t="s">
        <v>34</v>
      </c>
      <c r="B23" t="s">
        <v>38</v>
      </c>
    </row>
    <row r="24" spans="1:10" x14ac:dyDescent="0.55000000000000004">
      <c r="A24" t="s">
        <v>35</v>
      </c>
      <c r="B24" t="s">
        <v>39</v>
      </c>
    </row>
    <row r="25" spans="1:10" x14ac:dyDescent="0.55000000000000004">
      <c r="A25" t="s">
        <v>36</v>
      </c>
      <c r="B25" t="s">
        <v>40</v>
      </c>
    </row>
    <row r="26" spans="1:10" x14ac:dyDescent="0.55000000000000004">
      <c r="A26" t="s">
        <v>37</v>
      </c>
      <c r="B26" t="s">
        <v>41</v>
      </c>
    </row>
    <row r="27" spans="1:10" x14ac:dyDescent="0.55000000000000004">
      <c r="A27" t="s">
        <v>42</v>
      </c>
      <c r="B27" t="s">
        <v>43</v>
      </c>
    </row>
  </sheetData>
  <phoneticPr fontId="1" type="noConversion"/>
  <hyperlinks>
    <hyperlink ref="F5" r:id="rId1" xr:uid="{1EADABF8-F505-45BC-9626-79009F6C5D98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A7F9D-7064-4A02-B8A8-0E7A96367355}">
  <dimension ref="A1"/>
  <sheetViews>
    <sheetView topLeftCell="A4" workbookViewId="0">
      <selection activeCell="M21" sqref="M21"/>
    </sheetView>
  </sheetViews>
  <sheetFormatPr defaultRowHeight="16.899999999999999" x14ac:dyDescent="0.55000000000000004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抖音指数</vt:lpstr>
      <vt:lpstr>城市名单</vt:lpstr>
      <vt:lpstr>图例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yr kang</dc:creator>
  <cp:lastModifiedBy>Liu Zenia</cp:lastModifiedBy>
  <dcterms:created xsi:type="dcterms:W3CDTF">2026-04-13T07:48:16Z</dcterms:created>
  <dcterms:modified xsi:type="dcterms:W3CDTF">2026-04-19T12:34:20Z</dcterms:modified>
</cp:coreProperties>
</file>