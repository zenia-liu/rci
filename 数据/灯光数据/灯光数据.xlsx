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比赛\2026统计建模比赛\数据\"/>
    </mc:Choice>
  </mc:AlternateContent>
  <xr:revisionPtr revIDLastSave="0" documentId="13_ncr:1_{2DAA9488-D0BA-4D68-8C3A-3B49A6ECE4FA}" xr6:coauthVersionLast="47" xr6:coauthVersionMax="47" xr10:uidLastSave="{00000000-0000-0000-0000-000000000000}"/>
  <bookViews>
    <workbookView xWindow="-98" yWindow="-98" windowWidth="21795" windowHeight="12975" xr2:uid="{7F5E14BB-CAC1-4DB4-BE6B-1CA4DBEE63A8}"/>
  </bookViews>
  <sheets>
    <sheet name="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4" i="1" l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73" i="1"/>
  <c r="F85" i="1"/>
  <c r="F86" i="1"/>
  <c r="F87" i="1"/>
  <c r="F88" i="1"/>
  <c r="F89" i="1"/>
  <c r="F90" i="1"/>
  <c r="F91" i="1"/>
  <c r="F74" i="1"/>
  <c r="F75" i="1"/>
  <c r="F76" i="1"/>
  <c r="F77" i="1"/>
  <c r="F78" i="1"/>
  <c r="F79" i="1"/>
  <c r="F80" i="1"/>
  <c r="F81" i="1"/>
  <c r="F82" i="1"/>
  <c r="F83" i="1"/>
  <c r="F73" i="1"/>
  <c r="S51" i="1"/>
  <c r="S52" i="1"/>
  <c r="S53" i="1"/>
  <c r="S54" i="1"/>
  <c r="S55" i="1"/>
  <c r="S56" i="1"/>
  <c r="S57" i="1"/>
  <c r="S58" i="1"/>
  <c r="S59" i="1"/>
  <c r="S60" i="1"/>
  <c r="S61" i="1"/>
  <c r="S63" i="1"/>
  <c r="S64" i="1"/>
  <c r="S65" i="1"/>
  <c r="S66" i="1"/>
  <c r="S50" i="1"/>
  <c r="I63" i="1"/>
  <c r="I64" i="1"/>
  <c r="I65" i="1"/>
  <c r="I66" i="1"/>
  <c r="I51" i="1"/>
  <c r="I52" i="1"/>
  <c r="I53" i="1"/>
  <c r="I54" i="1"/>
  <c r="I55" i="1"/>
  <c r="I56" i="1"/>
  <c r="I57" i="1"/>
  <c r="I58" i="1"/>
  <c r="I59" i="1"/>
  <c r="I60" i="1"/>
  <c r="I61" i="1"/>
  <c r="I50" i="1"/>
  <c r="T40" i="1"/>
  <c r="T31" i="1"/>
  <c r="T32" i="1"/>
  <c r="T33" i="1"/>
  <c r="T34" i="1"/>
  <c r="T35" i="1"/>
  <c r="T36" i="1"/>
  <c r="T37" i="1"/>
  <c r="T38" i="1"/>
  <c r="T41" i="1"/>
  <c r="T42" i="1"/>
  <c r="T43" i="1"/>
  <c r="T30" i="1"/>
  <c r="J37" i="1"/>
  <c r="J31" i="1"/>
  <c r="J32" i="1"/>
  <c r="J33" i="1"/>
  <c r="J34" i="1"/>
  <c r="J35" i="1"/>
  <c r="J36" i="1"/>
  <c r="J38" i="1"/>
  <c r="J30" i="1"/>
  <c r="J41" i="1"/>
  <c r="J42" i="1"/>
  <c r="J43" i="1"/>
  <c r="J40" i="1"/>
  <c r="I19" i="1"/>
  <c r="Q20" i="1"/>
  <c r="Q21" i="1"/>
  <c r="Q22" i="1"/>
  <c r="Q23" i="1"/>
  <c r="Q24" i="1"/>
  <c r="Q19" i="1"/>
  <c r="Q7" i="1"/>
  <c r="Q8" i="1"/>
  <c r="Q9" i="1"/>
  <c r="Q10" i="1"/>
  <c r="Q11" i="1"/>
  <c r="Q12" i="1"/>
  <c r="Q13" i="1"/>
  <c r="Q14" i="1"/>
  <c r="Q15" i="1"/>
  <c r="Q16" i="1"/>
  <c r="Q17" i="1"/>
  <c r="Q6" i="1"/>
  <c r="I20" i="1"/>
  <c r="I21" i="1"/>
  <c r="I22" i="1"/>
  <c r="I23" i="1"/>
  <c r="I24" i="1"/>
  <c r="I7" i="1"/>
  <c r="I8" i="1"/>
  <c r="I9" i="1"/>
  <c r="I10" i="1"/>
  <c r="I11" i="1"/>
  <c r="I12" i="1"/>
  <c r="I13" i="1"/>
  <c r="I14" i="1"/>
  <c r="I15" i="1"/>
  <c r="I16" i="1"/>
  <c r="I17" i="1"/>
  <c r="I6" i="1"/>
  <c r="H6" i="1"/>
  <c r="P6" i="1"/>
  <c r="H7" i="1"/>
  <c r="P7" i="1"/>
  <c r="H8" i="1"/>
  <c r="P8" i="1"/>
  <c r="H9" i="1"/>
  <c r="P9" i="1"/>
  <c r="H10" i="1"/>
  <c r="P10" i="1"/>
  <c r="H11" i="1"/>
  <c r="P11" i="1"/>
  <c r="H12" i="1"/>
  <c r="P12" i="1"/>
  <c r="H13" i="1"/>
  <c r="P13" i="1"/>
  <c r="H14" i="1"/>
  <c r="P14" i="1"/>
  <c r="H15" i="1"/>
  <c r="P15" i="1"/>
  <c r="H16" i="1"/>
  <c r="P16" i="1"/>
  <c r="H17" i="1"/>
  <c r="P17" i="1"/>
  <c r="H19" i="1"/>
  <c r="P19" i="1"/>
  <c r="H20" i="1"/>
  <c r="P20" i="1"/>
  <c r="H21" i="1"/>
  <c r="P21" i="1"/>
  <c r="H22" i="1"/>
  <c r="P22" i="1"/>
  <c r="H23" i="1"/>
  <c r="P23" i="1"/>
  <c r="H24" i="1"/>
  <c r="P24" i="1"/>
  <c r="I30" i="1"/>
  <c r="S30" i="1"/>
  <c r="I31" i="1"/>
  <c r="S31" i="1"/>
  <c r="I32" i="1"/>
  <c r="S32" i="1"/>
  <c r="I33" i="1"/>
  <c r="S33" i="1"/>
  <c r="I34" i="1"/>
  <c r="S34" i="1"/>
  <c r="I35" i="1"/>
  <c r="S35" i="1"/>
  <c r="I36" i="1"/>
  <c r="S36" i="1"/>
  <c r="I37" i="1"/>
  <c r="S37" i="1"/>
  <c r="I38" i="1"/>
  <c r="S38" i="1"/>
  <c r="I40" i="1"/>
  <c r="S40" i="1"/>
  <c r="I41" i="1"/>
  <c r="S41" i="1"/>
  <c r="I42" i="1"/>
  <c r="S42" i="1"/>
  <c r="I43" i="1"/>
  <c r="S43" i="1"/>
  <c r="H50" i="1"/>
  <c r="R50" i="1"/>
  <c r="H51" i="1"/>
  <c r="R51" i="1"/>
  <c r="H52" i="1"/>
  <c r="R52" i="1"/>
  <c r="H53" i="1"/>
  <c r="R53" i="1"/>
  <c r="H54" i="1"/>
  <c r="R54" i="1"/>
  <c r="C55" i="1"/>
  <c r="D55" i="1"/>
  <c r="E55" i="1"/>
  <c r="F55" i="1"/>
  <c r="G55" i="1"/>
  <c r="H55" i="1"/>
  <c r="N55" i="1"/>
  <c r="R55" i="1" s="1"/>
  <c r="O55" i="1"/>
  <c r="P55" i="1"/>
  <c r="Q55" i="1"/>
  <c r="H56" i="1"/>
  <c r="R56" i="1"/>
  <c r="H57" i="1"/>
  <c r="R57" i="1"/>
  <c r="H58" i="1"/>
  <c r="R58" i="1"/>
  <c r="H59" i="1"/>
  <c r="R59" i="1"/>
  <c r="H60" i="1"/>
  <c r="R60" i="1"/>
  <c r="H61" i="1"/>
  <c r="R61" i="1"/>
  <c r="H63" i="1"/>
  <c r="R63" i="1"/>
  <c r="C64" i="1"/>
  <c r="D64" i="1"/>
  <c r="E64" i="1"/>
  <c r="H64" i="1" s="1"/>
  <c r="F64" i="1"/>
  <c r="G64" i="1"/>
  <c r="N64" i="1"/>
  <c r="O64" i="1"/>
  <c r="P64" i="1"/>
  <c r="Q64" i="1"/>
  <c r="R64" i="1"/>
  <c r="H65" i="1"/>
  <c r="R65" i="1"/>
  <c r="H66" i="1"/>
  <c r="R66" i="1"/>
  <c r="E73" i="1"/>
  <c r="Q73" i="1"/>
  <c r="E74" i="1"/>
  <c r="Q74" i="1"/>
  <c r="E75" i="1"/>
  <c r="Q75" i="1"/>
  <c r="E76" i="1"/>
  <c r="Q76" i="1"/>
  <c r="C77" i="1"/>
  <c r="D77" i="1"/>
  <c r="E77" i="1"/>
  <c r="N77" i="1"/>
  <c r="O77" i="1"/>
  <c r="P77" i="1"/>
  <c r="Q77" i="1"/>
  <c r="E78" i="1"/>
  <c r="Q78" i="1"/>
  <c r="E79" i="1"/>
  <c r="Q79" i="1"/>
  <c r="E80" i="1"/>
  <c r="Q80" i="1"/>
  <c r="E81" i="1"/>
  <c r="Q81" i="1"/>
  <c r="E82" i="1"/>
  <c r="Q82" i="1"/>
  <c r="E83" i="1"/>
  <c r="Q83" i="1"/>
  <c r="E85" i="1"/>
  <c r="Q85" i="1"/>
  <c r="C86" i="1"/>
  <c r="D86" i="1"/>
  <c r="E86" i="1"/>
  <c r="N86" i="1"/>
  <c r="O86" i="1"/>
  <c r="P86" i="1"/>
  <c r="Q86" i="1"/>
  <c r="E87" i="1"/>
  <c r="Q87" i="1"/>
  <c r="E88" i="1"/>
  <c r="Q88" i="1"/>
  <c r="E89" i="1"/>
  <c r="Q89" i="1"/>
  <c r="E90" i="1"/>
  <c r="Q90" i="1"/>
  <c r="E91" i="1"/>
  <c r="Q91" i="1"/>
</calcChain>
</file>

<file path=xl/sharedStrings.xml><?xml version="1.0" encoding="utf-8"?>
<sst xmlns="http://schemas.openxmlformats.org/spreadsheetml/2006/main" count="122" uniqueCount="61">
  <si>
    <t>T_cool_weighted_mean</t>
    <phoneticPr fontId="5" type="noConversion"/>
  </si>
  <si>
    <t>由于天水缺少2023/1数据，直接删去宝鸡对应数据。</t>
    <phoneticPr fontId="5" type="noConversion"/>
  </si>
  <si>
    <t>T_base_weighted_mean</t>
    <phoneticPr fontId="5" type="noConversion"/>
  </si>
  <si>
    <t>陈仓</t>
    <phoneticPr fontId="5" type="noConversion"/>
  </si>
  <si>
    <t>金台</t>
    <phoneticPr fontId="5" type="noConversion"/>
  </si>
  <si>
    <t>渭滨</t>
    <phoneticPr fontId="5" type="noConversion"/>
  </si>
  <si>
    <t>月</t>
    <phoneticPr fontId="5" type="noConversion"/>
  </si>
  <si>
    <t>年</t>
    <phoneticPr fontId="5" type="noConversion"/>
  </si>
  <si>
    <t>麦积</t>
    <phoneticPr fontId="5" type="noConversion"/>
  </si>
  <si>
    <t>秦州</t>
    <phoneticPr fontId="5" type="noConversion"/>
  </si>
  <si>
    <t>2024/5/21-2024/11/21</t>
  </si>
  <si>
    <t>T_cool</t>
    <phoneticPr fontId="5" type="noConversion"/>
  </si>
  <si>
    <t>2023/1/13-2024/1/13</t>
  </si>
  <si>
    <t>T_base</t>
    <phoneticPr fontId="5" type="noConversion"/>
  </si>
  <si>
    <t>宝鸡</t>
    <phoneticPr fontId="5" type="noConversion"/>
  </si>
  <si>
    <t>天水</t>
    <phoneticPr fontId="5" type="noConversion"/>
  </si>
  <si>
    <t>龙安</t>
    <phoneticPr fontId="5" type="noConversion"/>
  </si>
  <si>
    <t>殷都</t>
    <phoneticPr fontId="5" type="noConversion"/>
  </si>
  <si>
    <t>北关</t>
    <phoneticPr fontId="5" type="noConversion"/>
  </si>
  <si>
    <t>文峰</t>
    <phoneticPr fontId="5" type="noConversion"/>
  </si>
  <si>
    <t>祥符</t>
    <phoneticPr fontId="5" type="noConversion"/>
  </si>
  <si>
    <t>顺河</t>
    <phoneticPr fontId="5" type="noConversion"/>
  </si>
  <si>
    <t>禹王台</t>
    <phoneticPr fontId="5" type="noConversion"/>
  </si>
  <si>
    <t>鼓楼</t>
    <phoneticPr fontId="5" type="noConversion"/>
  </si>
  <si>
    <t>龙亭</t>
    <phoneticPr fontId="5" type="noConversion"/>
  </si>
  <si>
    <t>2024/5/26-2024/8/26</t>
  </si>
  <si>
    <t>2023/1/1-2024/1/1</t>
  </si>
  <si>
    <t>安阳</t>
    <phoneticPr fontId="5" type="noConversion"/>
  </si>
  <si>
    <t>开封</t>
    <phoneticPr fontId="5" type="noConversion"/>
  </si>
  <si>
    <t>在处理东北样本（哈尔滨与长春）时，鉴于高纬度夏季（5-7月）因日照变长导致卫星传感器发生严重的黄昏杂散光溢出（数据被算法大面积清零），本研究将实验组与控制组的夏季窗口同步剥离，仅保留光照条件稳定的秋冬季数据进行跨期同比，有效规避了地理气象导致的内生性测量偏误。”</t>
    <phoneticPr fontId="5" type="noConversion"/>
  </si>
  <si>
    <t>绿园</t>
    <phoneticPr fontId="5" type="noConversion"/>
  </si>
  <si>
    <t>二道</t>
    <phoneticPr fontId="5" type="noConversion"/>
  </si>
  <si>
    <t>宽城</t>
    <phoneticPr fontId="5" type="noConversion"/>
  </si>
  <si>
    <t>南关</t>
    <phoneticPr fontId="5" type="noConversion"/>
  </si>
  <si>
    <t>朝阳</t>
    <phoneticPr fontId="5" type="noConversion"/>
  </si>
  <si>
    <t>松北</t>
    <phoneticPr fontId="5" type="noConversion"/>
  </si>
  <si>
    <t>平房</t>
    <phoneticPr fontId="5" type="noConversion"/>
  </si>
  <si>
    <t>香坊</t>
    <phoneticPr fontId="5" type="noConversion"/>
  </si>
  <si>
    <t>道外</t>
    <phoneticPr fontId="5" type="noConversion"/>
  </si>
  <si>
    <t>南岗</t>
    <phoneticPr fontId="5" type="noConversion"/>
  </si>
  <si>
    <t>道里</t>
    <phoneticPr fontId="5" type="noConversion"/>
  </si>
  <si>
    <t>2024/3/1-2024/9/1</t>
  </si>
  <si>
    <t>面积</t>
    <phoneticPr fontId="5" type="noConversion"/>
  </si>
  <si>
    <t>2022/10/1-2023/10/1</t>
  </si>
  <si>
    <t>长春</t>
    <phoneticPr fontId="5" type="noConversion"/>
  </si>
  <si>
    <t>哈尔滨</t>
    <phoneticPr fontId="5" type="noConversion"/>
  </si>
  <si>
    <t>临淄</t>
    <phoneticPr fontId="3" type="noConversion"/>
  </si>
  <si>
    <t>周村</t>
    <phoneticPr fontId="3" type="noConversion"/>
  </si>
  <si>
    <t>博山</t>
    <phoneticPr fontId="3" type="noConversion"/>
  </si>
  <si>
    <t>淄川</t>
    <phoneticPr fontId="3" type="noConversion"/>
  </si>
  <si>
    <t>张店</t>
    <phoneticPr fontId="3" type="noConversion"/>
  </si>
  <si>
    <t>兖州</t>
    <phoneticPr fontId="5" type="noConversion"/>
  </si>
  <si>
    <t>任城</t>
    <phoneticPr fontId="5" type="noConversion"/>
  </si>
  <si>
    <t>2023/7/19-2024/1/19</t>
  </si>
  <si>
    <t>T_cool</t>
    <phoneticPr fontId="3" type="noConversion"/>
  </si>
  <si>
    <t>2022/2/28-2023/2/28</t>
  </si>
  <si>
    <t>T_base</t>
    <phoneticPr fontId="3" type="noConversion"/>
  </si>
  <si>
    <t xml:space="preserve"> 面积（/）</t>
    <phoneticPr fontId="5" type="noConversion"/>
  </si>
  <si>
    <t>济宁</t>
    <phoneticPr fontId="5" type="noConversion"/>
  </si>
  <si>
    <t>淄博</t>
    <phoneticPr fontId="3" type="noConversion"/>
  </si>
  <si>
    <t>ln_light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</si>
</sst>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8" x14ac:knownFonts="1">
    <font>
      <sz val="11"/>
      <name val="Calibri"/>
      <family val="2"/>
    </font>
    <font>
      <sz val="12"/>
      <color theme="1"/>
      <name val="华文楷体"/>
      <family val="2"/>
      <charset val="134"/>
    </font>
    <font>
      <sz val="12"/>
      <color theme="1"/>
      <name val="华文楷体"/>
      <family val="2"/>
      <charset val="134"/>
    </font>
    <font>
      <sz val="9"/>
      <name val="华文楷体"/>
      <family val="2"/>
      <charset val="134"/>
    </font>
    <font>
      <sz val="11"/>
      <name val="宋体"/>
      <family val="3"/>
      <charset val="134"/>
    </font>
    <font>
      <sz val="9"/>
      <name val="Calibri"/>
      <family val="2"/>
    </font>
    <font>
      <sz val="12"/>
      <color indexed="8"/>
      <name val="华文楷体"/>
      <family val="3"/>
      <charset val="134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1">
      <alignment vertical="center"/>
    </xf>
    <xf numFmtId="17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2" fillId="2" borderId="0" xfId="1" applyFill="1">
      <alignment vertical="center"/>
    </xf>
    <xf numFmtId="0" fontId="2" fillId="0" borderId="0" xfId="1" applyAlignment="1">
      <alignment horizontal="center" vertical="center"/>
    </xf>
    <xf numFmtId="0" fontId="2" fillId="0" borderId="2" xfId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/>
    </xf>
    <xf numFmtId="0" fontId="2" fillId="0" borderId="0" xfId="1" applyAlignment="1">
      <alignment horizontal="center" vertical="center" wrapText="1"/>
    </xf>
    <xf numFmtId="14" fontId="7" fillId="0" borderId="0" xfId="1" applyNumberFormat="1" applyFont="1">
      <alignment vertical="center"/>
    </xf>
    <xf numFmtId="14" fontId="7" fillId="0" borderId="0" xfId="1" applyNumberFormat="1" applyFont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 xr:uid="{5538197B-FC20-466A-BB60-CB19BCC8E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91</xdr:row>
      <xdr:rowOff>90487</xdr:rowOff>
    </xdr:from>
    <xdr:ext cx="6761195" cy="2614611"/>
    <xdr:pic>
      <xdr:nvPicPr>
        <xdr:cNvPr id="2" name="图片 1">
          <a:extLst>
            <a:ext uri="{FF2B5EF4-FFF2-40B4-BE49-F238E27FC236}">
              <a16:creationId xmlns:a16="http://schemas.microsoft.com/office/drawing/2014/main" id="{82CD7E57-CFDC-4AE3-8D65-4DB3A573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59212"/>
          <a:ext cx="6761195" cy="26146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773B-5A01-47D6-9BB5-ED36F1B349DC}">
  <dimension ref="A1:T91"/>
  <sheetViews>
    <sheetView tabSelected="1" topLeftCell="B89" workbookViewId="0">
      <selection activeCell="R84" sqref="R84"/>
    </sheetView>
  </sheetViews>
  <sheetFormatPr defaultRowHeight="16.899999999999999" x14ac:dyDescent="0.45"/>
  <cols>
    <col min="1" max="7" width="9.06640625" style="1"/>
    <col min="8" max="8" width="12.1328125" style="1" customWidth="1"/>
    <col min="9" max="15" width="9.06640625" style="1"/>
    <col min="16" max="16" width="16.1328125" style="1" customWidth="1"/>
    <col min="17" max="16384" width="9.06640625" style="1"/>
  </cols>
  <sheetData>
    <row r="1" spans="1:17" x14ac:dyDescent="0.45">
      <c r="A1" s="1" t="s">
        <v>59</v>
      </c>
      <c r="L1" s="1" t="s">
        <v>58</v>
      </c>
    </row>
    <row r="2" spans="1:17" x14ac:dyDescent="0.45">
      <c r="A2" s="1" t="s">
        <v>56</v>
      </c>
      <c r="B2" s="10" t="s">
        <v>55</v>
      </c>
      <c r="D2" s="1" t="s">
        <v>57</v>
      </c>
      <c r="L2" s="1" t="s">
        <v>56</v>
      </c>
      <c r="M2" s="10" t="s">
        <v>55</v>
      </c>
    </row>
    <row r="3" spans="1:17" x14ac:dyDescent="0.45">
      <c r="A3" s="1" t="s">
        <v>54</v>
      </c>
      <c r="B3" s="10" t="s">
        <v>53</v>
      </c>
      <c r="L3" s="1" t="s">
        <v>54</v>
      </c>
      <c r="M3" s="10" t="s">
        <v>53</v>
      </c>
    </row>
    <row r="4" spans="1:17" x14ac:dyDescent="0.45">
      <c r="A4" s="5" t="s">
        <v>7</v>
      </c>
      <c r="B4" s="11" t="s">
        <v>6</v>
      </c>
      <c r="C4" s="1" t="s">
        <v>50</v>
      </c>
      <c r="D4" s="1" t="s">
        <v>49</v>
      </c>
      <c r="E4" s="1" t="s">
        <v>48</v>
      </c>
      <c r="F4" s="1" t="s">
        <v>47</v>
      </c>
      <c r="G4" s="1" t="s">
        <v>46</v>
      </c>
      <c r="H4" s="9" t="s">
        <v>2</v>
      </c>
      <c r="I4" s="13" t="s">
        <v>60</v>
      </c>
      <c r="L4" s="5" t="s">
        <v>7</v>
      </c>
      <c r="M4" s="11" t="s">
        <v>6</v>
      </c>
      <c r="N4" s="1" t="s">
        <v>52</v>
      </c>
      <c r="O4" s="1" t="s">
        <v>51</v>
      </c>
      <c r="P4" s="5" t="s">
        <v>2</v>
      </c>
    </row>
    <row r="5" spans="1:17" x14ac:dyDescent="0.45">
      <c r="A5" s="6"/>
      <c r="B5" s="12"/>
      <c r="C5" s="1">
        <v>360</v>
      </c>
      <c r="D5" s="1">
        <v>960</v>
      </c>
      <c r="E5" s="1">
        <v>698</v>
      </c>
      <c r="F5" s="1">
        <v>204.3</v>
      </c>
      <c r="G5" s="1">
        <v>663.7</v>
      </c>
      <c r="H5" s="5"/>
      <c r="I5" s="5"/>
      <c r="L5" s="5"/>
      <c r="M5" s="11"/>
      <c r="N5" s="1">
        <v>651</v>
      </c>
      <c r="O5" s="1">
        <v>650.20000000000005</v>
      </c>
      <c r="P5" s="5"/>
    </row>
    <row r="6" spans="1:17" x14ac:dyDescent="0.3">
      <c r="A6" s="3">
        <v>2022</v>
      </c>
      <c r="B6" s="3">
        <v>3</v>
      </c>
      <c r="C6" s="2">
        <v>17.28</v>
      </c>
      <c r="D6" s="2">
        <v>2.66</v>
      </c>
      <c r="E6" s="2">
        <v>2.1</v>
      </c>
      <c r="F6" s="2">
        <v>6.22</v>
      </c>
      <c r="G6" s="2">
        <v>6.2</v>
      </c>
      <c r="H6" s="1">
        <f>SUMPRODUCT(C6:G6,C$5:G$5)/SUM(C$5:G$5)</f>
        <v>5.4143749133749139</v>
      </c>
      <c r="I6" s="1">
        <f>LN(H6+1)</f>
        <v>1.8585415519130051</v>
      </c>
      <c r="L6" s="3">
        <v>2022</v>
      </c>
      <c r="M6" s="3">
        <v>3</v>
      </c>
      <c r="N6" s="2">
        <v>9.3699999999999992</v>
      </c>
      <c r="O6" s="2">
        <v>5</v>
      </c>
      <c r="P6" s="1">
        <f>SUMPRODUCT(N$5:O$5,N6:O6)/SUM(N$5:O$5)</f>
        <v>7.1863433753458335</v>
      </c>
      <c r="Q6" s="1">
        <f>LN(P6+1)</f>
        <v>2.1024673238488956</v>
      </c>
    </row>
    <row r="7" spans="1:17" x14ac:dyDescent="0.3">
      <c r="A7" s="3">
        <v>2022</v>
      </c>
      <c r="B7" s="3">
        <v>4</v>
      </c>
      <c r="C7" s="2">
        <v>16.21</v>
      </c>
      <c r="D7" s="2">
        <v>2.65</v>
      </c>
      <c r="E7" s="2">
        <v>2.06</v>
      </c>
      <c r="F7" s="2">
        <v>5.99</v>
      </c>
      <c r="G7" s="2">
        <v>6.36</v>
      </c>
      <c r="H7" s="1">
        <f>SUMPRODUCT(C7:G7,C$5:G$5)/SUM(C$5:G$5)</f>
        <v>5.2884161469161466</v>
      </c>
      <c r="I7" s="1">
        <f t="shared" ref="I7:I17" si="0">LN(H7+1)</f>
        <v>1.8387092340623727</v>
      </c>
      <c r="L7" s="3">
        <v>2022</v>
      </c>
      <c r="M7" s="3">
        <v>4</v>
      </c>
      <c r="N7" s="2">
        <v>8.4499999999999993</v>
      </c>
      <c r="O7" s="2">
        <v>4.4400000000000004</v>
      </c>
      <c r="P7" s="1">
        <f>SUMPRODUCT(N$5:O$5,N7:O7)/SUM(N$5:O$5)</f>
        <v>6.4462327082692896</v>
      </c>
      <c r="Q7" s="1">
        <f t="shared" ref="Q7:Q17" si="1">LN(P7+1)</f>
        <v>2.0077082277514888</v>
      </c>
    </row>
    <row r="8" spans="1:17" x14ac:dyDescent="0.3">
      <c r="A8" s="3">
        <v>2022</v>
      </c>
      <c r="B8" s="3">
        <v>5</v>
      </c>
      <c r="C8" s="2">
        <v>14.74</v>
      </c>
      <c r="D8" s="2">
        <v>2.4</v>
      </c>
      <c r="E8" s="2">
        <v>1.94</v>
      </c>
      <c r="F8" s="2">
        <v>5.57</v>
      </c>
      <c r="G8" s="2">
        <v>5.3</v>
      </c>
      <c r="H8" s="1">
        <f>SUMPRODUCT(C8:G8,C$5:G$5)/SUM(C$5:G$5)</f>
        <v>4.7193627858627867</v>
      </c>
      <c r="I8" s="1">
        <f t="shared" si="0"/>
        <v>1.7438573981132068</v>
      </c>
      <c r="L8" s="3">
        <v>2022</v>
      </c>
      <c r="M8" s="3">
        <v>5</v>
      </c>
      <c r="N8" s="2">
        <v>8.83</v>
      </c>
      <c r="O8" s="2">
        <v>4.3499999999999996</v>
      </c>
      <c r="P8" s="1">
        <f>SUMPRODUCT(N$5:O$5,N8:O8)/SUM(N$5:O$5)</f>
        <v>6.5913771902858906</v>
      </c>
      <c r="Q8" s="1">
        <f t="shared" si="1"/>
        <v>2.0270130229433478</v>
      </c>
    </row>
    <row r="9" spans="1:17" x14ac:dyDescent="0.3">
      <c r="A9" s="3">
        <v>2022</v>
      </c>
      <c r="B9" s="3">
        <v>6</v>
      </c>
      <c r="C9" s="2">
        <v>14.6</v>
      </c>
      <c r="D9" s="2">
        <v>2.73</v>
      </c>
      <c r="E9" s="2">
        <v>2.21</v>
      </c>
      <c r="F9" s="2">
        <v>5.57</v>
      </c>
      <c r="G9" s="2">
        <v>5.71</v>
      </c>
      <c r="H9" s="1">
        <f>SUMPRODUCT(C9:G9,C$5:G$5)/SUM(C$5:G$5)</f>
        <v>4.9712605682605693</v>
      </c>
      <c r="I9" s="1">
        <f t="shared" si="0"/>
        <v>1.7869580555777962</v>
      </c>
      <c r="L9" s="3">
        <v>2022</v>
      </c>
      <c r="M9" s="3">
        <v>6</v>
      </c>
      <c r="N9" s="2">
        <v>8.4</v>
      </c>
      <c r="O9" s="2">
        <v>4.72</v>
      </c>
      <c r="P9" s="1">
        <f>SUMPRODUCT(N$5:O$5,N9:O9)/SUM(N$5:O$5)</f>
        <v>6.5611312634491243</v>
      </c>
      <c r="Q9" s="1">
        <f t="shared" si="1"/>
        <v>2.0230208170191606</v>
      </c>
    </row>
    <row r="10" spans="1:17" x14ac:dyDescent="0.3">
      <c r="A10" s="3">
        <v>2022</v>
      </c>
      <c r="B10" s="3">
        <v>7</v>
      </c>
      <c r="C10" s="2">
        <v>13.48</v>
      </c>
      <c r="D10" s="2">
        <v>2.2400000000000002</v>
      </c>
      <c r="E10" s="2">
        <v>1.94</v>
      </c>
      <c r="F10" s="2">
        <v>4.95</v>
      </c>
      <c r="G10" s="2">
        <v>4.4800000000000004</v>
      </c>
      <c r="H10" s="1">
        <f>SUMPRODUCT(C10:G10,C$5:G$5)/SUM(C$5:G$5)</f>
        <v>4.2765006930006928</v>
      </c>
      <c r="I10" s="1">
        <f t="shared" si="0"/>
        <v>1.6632631304661911</v>
      </c>
      <c r="L10" s="3">
        <v>2022</v>
      </c>
      <c r="M10" s="3">
        <v>7</v>
      </c>
      <c r="N10" s="2">
        <v>5.57</v>
      </c>
      <c r="O10" s="2">
        <v>4.24</v>
      </c>
      <c r="P10" s="1">
        <f>SUMPRODUCT(N$5:O$5,N10:O10)/SUM(N$5:O$5)</f>
        <v>4.905408853366124</v>
      </c>
      <c r="Q10" s="1">
        <f t="shared" si="1"/>
        <v>1.7758686857564516</v>
      </c>
    </row>
    <row r="11" spans="1:17" x14ac:dyDescent="0.3">
      <c r="A11" s="3">
        <v>2022</v>
      </c>
      <c r="B11" s="3">
        <v>8</v>
      </c>
      <c r="C11" s="2">
        <v>14.29</v>
      </c>
      <c r="D11" s="2">
        <v>2.09</v>
      </c>
      <c r="E11" s="2">
        <v>1.61</v>
      </c>
      <c r="F11" s="2">
        <v>4.55</v>
      </c>
      <c r="G11" s="2">
        <v>5.52</v>
      </c>
      <c r="H11" s="1">
        <f>SUMPRODUCT(C11:G11,C$5:G$5)/SUM(C$5:G$5)</f>
        <v>4.4586864171864171</v>
      </c>
      <c r="I11" s="1">
        <f t="shared" si="0"/>
        <v>1.6972081778792067</v>
      </c>
      <c r="L11" s="3">
        <v>2022</v>
      </c>
      <c r="M11" s="3">
        <v>8</v>
      </c>
      <c r="N11" s="2">
        <v>6.07</v>
      </c>
      <c r="O11" s="2">
        <v>3.5</v>
      </c>
      <c r="P11" s="1">
        <f>SUMPRODUCT(N$5:O$5,N11:O11)/SUM(N$5:O$5)</f>
        <v>4.7857900399631115</v>
      </c>
      <c r="Q11" s="1">
        <f t="shared" si="1"/>
        <v>1.7554049182984208</v>
      </c>
    </row>
    <row r="12" spans="1:17" x14ac:dyDescent="0.3">
      <c r="A12" s="3">
        <v>2022</v>
      </c>
      <c r="B12" s="3">
        <v>9</v>
      </c>
      <c r="C12" s="2">
        <v>14.43</v>
      </c>
      <c r="D12" s="2">
        <v>2.4500000000000002</v>
      </c>
      <c r="E12" s="2">
        <v>1.93</v>
      </c>
      <c r="F12" s="2">
        <v>5.37</v>
      </c>
      <c r="G12" s="2">
        <v>5.38</v>
      </c>
      <c r="H12" s="1">
        <f>SUMPRODUCT(C12:G12,C$5:G$5)/SUM(C$5:G$5)</f>
        <v>4.6991465696465697</v>
      </c>
      <c r="I12" s="1">
        <f t="shared" si="0"/>
        <v>1.7403164390072452</v>
      </c>
      <c r="L12" s="3">
        <v>2022</v>
      </c>
      <c r="M12" s="3">
        <v>9</v>
      </c>
      <c r="N12" s="2">
        <v>7.28</v>
      </c>
      <c r="O12" s="2">
        <v>4.04</v>
      </c>
      <c r="P12" s="1">
        <f>SUMPRODUCT(N$5:O$5,N12:O12)/SUM(N$5:O$5)</f>
        <v>5.6609960036889024</v>
      </c>
      <c r="Q12" s="1">
        <f t="shared" si="1"/>
        <v>1.8962690234742345</v>
      </c>
    </row>
    <row r="13" spans="1:17" x14ac:dyDescent="0.3">
      <c r="A13" s="3">
        <v>2022</v>
      </c>
      <c r="B13" s="3">
        <v>10</v>
      </c>
      <c r="C13" s="2">
        <v>14.02</v>
      </c>
      <c r="D13" s="2">
        <v>2.42</v>
      </c>
      <c r="E13" s="2">
        <v>1.79</v>
      </c>
      <c r="F13" s="2">
        <v>5.34</v>
      </c>
      <c r="G13" s="2">
        <v>5.24</v>
      </c>
      <c r="H13" s="1">
        <f>SUMPRODUCT(C13:G13,C$5:G$5)/SUM(C$5:G$5)</f>
        <v>4.5698440748440747</v>
      </c>
      <c r="I13" s="1">
        <f t="shared" si="0"/>
        <v>1.7173670598030293</v>
      </c>
      <c r="L13" s="3">
        <v>2022</v>
      </c>
      <c r="M13" s="3">
        <v>10</v>
      </c>
      <c r="N13" s="2">
        <v>7.08</v>
      </c>
      <c r="O13" s="2">
        <v>4.01</v>
      </c>
      <c r="P13" s="1">
        <f>SUMPRODUCT(N$5:O$5,N13:O13)/SUM(N$5:O$5)</f>
        <v>5.545943744236089</v>
      </c>
      <c r="Q13" s="1">
        <f t="shared" si="1"/>
        <v>1.8788455821276229</v>
      </c>
    </row>
    <row r="14" spans="1:17" x14ac:dyDescent="0.3">
      <c r="A14" s="3">
        <v>2022</v>
      </c>
      <c r="B14" s="3">
        <v>11</v>
      </c>
      <c r="C14" s="2">
        <v>16.309999999999999</v>
      </c>
      <c r="D14" s="2">
        <v>2.63</v>
      </c>
      <c r="E14" s="2">
        <v>2.02</v>
      </c>
      <c r="F14" s="2">
        <v>6.05</v>
      </c>
      <c r="G14" s="2">
        <v>5.75</v>
      </c>
      <c r="H14" s="1">
        <f>SUMPRODUCT(C14:G14,C$5:G$5)/SUM(C$5:G$5)</f>
        <v>5.1485273735273731</v>
      </c>
      <c r="I14" s="1">
        <f t="shared" si="0"/>
        <v>1.8162126016863849</v>
      </c>
      <c r="L14" s="3">
        <v>2022</v>
      </c>
      <c r="M14" s="3">
        <v>11</v>
      </c>
      <c r="N14" s="2">
        <v>6.84</v>
      </c>
      <c r="O14" s="2">
        <v>4.0599999999999996</v>
      </c>
      <c r="P14" s="1">
        <f>SUMPRODUCT(N$5:O$5,N14:O14)/SUM(N$5:O$5)</f>
        <v>5.4508545957577619</v>
      </c>
      <c r="Q14" s="1">
        <f t="shared" si="1"/>
        <v>1.8642126174972518</v>
      </c>
    </row>
    <row r="15" spans="1:17" x14ac:dyDescent="0.3">
      <c r="A15" s="3">
        <v>2022</v>
      </c>
      <c r="B15" s="3">
        <v>12</v>
      </c>
      <c r="C15" s="2">
        <v>17.45</v>
      </c>
      <c r="D15" s="2">
        <v>2.4700000000000002</v>
      </c>
      <c r="E15" s="2">
        <v>2.0299999999999998</v>
      </c>
      <c r="F15" s="2">
        <v>6.12</v>
      </c>
      <c r="G15" s="2">
        <v>5.65</v>
      </c>
      <c r="H15" s="1">
        <f>SUMPRODUCT(C15:G15,C$5:G$5)/SUM(C$5:G$5)</f>
        <v>5.2218853083853096</v>
      </c>
      <c r="I15" s="1">
        <f t="shared" si="0"/>
        <v>1.8280729650662886</v>
      </c>
      <c r="L15" s="3">
        <v>2022</v>
      </c>
      <c r="M15" s="3">
        <v>12</v>
      </c>
      <c r="N15" s="2">
        <v>8.33</v>
      </c>
      <c r="O15" s="2">
        <v>3.69</v>
      </c>
      <c r="P15" s="1">
        <f>SUMPRODUCT(N$5:O$5,N15:O15)/SUM(N$5:O$5)</f>
        <v>6.0114263756532429</v>
      </c>
      <c r="Q15" s="1">
        <f t="shared" si="1"/>
        <v>1.9475411576164581</v>
      </c>
    </row>
    <row r="16" spans="1:17" x14ac:dyDescent="0.3">
      <c r="A16" s="3">
        <v>2023</v>
      </c>
      <c r="B16" s="3">
        <v>1</v>
      </c>
      <c r="C16" s="2">
        <v>18.899999999999999</v>
      </c>
      <c r="D16" s="2">
        <v>2.93</v>
      </c>
      <c r="E16" s="2">
        <v>2.52</v>
      </c>
      <c r="F16" s="2">
        <v>6.67</v>
      </c>
      <c r="G16" s="2">
        <v>6.29</v>
      </c>
      <c r="H16" s="1">
        <f>SUMPRODUCT(C16:G16,C$5:G$5)/SUM(C$5:G$5)</f>
        <v>5.8603998613998618</v>
      </c>
      <c r="I16" s="1">
        <f t="shared" si="0"/>
        <v>1.9257657288728649</v>
      </c>
      <c r="L16" s="3">
        <v>2023</v>
      </c>
      <c r="M16" s="3">
        <v>1</v>
      </c>
      <c r="N16" s="2">
        <v>9.49</v>
      </c>
      <c r="O16" s="2">
        <v>5.43</v>
      </c>
      <c r="P16" s="1">
        <f>SUMPRODUCT(N$5:O$5,N16:O16)/SUM(N$5:O$5)</f>
        <v>7.4612480786965882</v>
      </c>
      <c r="Q16" s="1">
        <f t="shared" si="1"/>
        <v>2.1354966897697829</v>
      </c>
    </row>
    <row r="17" spans="1:20" x14ac:dyDescent="0.3">
      <c r="A17" s="3">
        <v>2023</v>
      </c>
      <c r="B17" s="3">
        <v>2</v>
      </c>
      <c r="C17" s="2">
        <v>17.41</v>
      </c>
      <c r="D17" s="2">
        <v>2.5499999999999998</v>
      </c>
      <c r="E17" s="2">
        <v>2.0099999999999998</v>
      </c>
      <c r="F17" s="2">
        <v>6.19</v>
      </c>
      <c r="G17" s="2">
        <v>5.7</v>
      </c>
      <c r="H17" s="1">
        <f>SUMPRODUCT(C17:G17,C$5:G$5)/SUM(C$5:G$5)</f>
        <v>5.2551237006237006</v>
      </c>
      <c r="I17" s="1">
        <f t="shared" si="0"/>
        <v>1.8334009200020955</v>
      </c>
      <c r="L17" s="3">
        <v>2023</v>
      </c>
      <c r="M17" s="3">
        <v>2</v>
      </c>
      <c r="N17" s="2">
        <v>8.84</v>
      </c>
      <c r="O17" s="2">
        <v>3.88</v>
      </c>
      <c r="P17" s="1">
        <f>SUMPRODUCT(N$5:O$5,N17:O17)/SUM(N$5:O$5)</f>
        <v>6.361524746387949</v>
      </c>
      <c r="Q17" s="1">
        <f t="shared" si="1"/>
        <v>1.9962670779135394</v>
      </c>
    </row>
    <row r="18" spans="1:20" x14ac:dyDescent="0.45">
      <c r="A18" s="1" t="s">
        <v>7</v>
      </c>
      <c r="B18" s="10" t="s">
        <v>6</v>
      </c>
      <c r="C18" s="1" t="s">
        <v>50</v>
      </c>
      <c r="D18" s="1" t="s">
        <v>49</v>
      </c>
      <c r="E18" s="1" t="s">
        <v>48</v>
      </c>
      <c r="F18" s="1" t="s">
        <v>47</v>
      </c>
      <c r="G18" s="1" t="s">
        <v>46</v>
      </c>
      <c r="H18" s="1" t="s">
        <v>0</v>
      </c>
      <c r="P18" s="1" t="s">
        <v>0</v>
      </c>
    </row>
    <row r="19" spans="1:20" x14ac:dyDescent="0.3">
      <c r="A19" s="1">
        <v>2023</v>
      </c>
      <c r="B19" s="1">
        <v>8</v>
      </c>
      <c r="C19" s="2">
        <v>13.72</v>
      </c>
      <c r="D19" s="2">
        <v>2.42</v>
      </c>
      <c r="E19" s="2">
        <v>1.83</v>
      </c>
      <c r="F19" s="2">
        <v>5.16</v>
      </c>
      <c r="G19" s="2">
        <v>5.13</v>
      </c>
      <c r="H19" s="1">
        <f>SUMPRODUCT(C19:G19,C$5:G$5)/SUM(C$5:G$5)</f>
        <v>4.5040571725571725</v>
      </c>
      <c r="I19" s="1">
        <f>LN(H19+1)</f>
        <v>1.7054854880329748</v>
      </c>
      <c r="L19" s="1">
        <v>2023</v>
      </c>
      <c r="M19" s="1">
        <v>8</v>
      </c>
      <c r="N19" s="2">
        <v>7.02</v>
      </c>
      <c r="O19" s="2">
        <v>3.42</v>
      </c>
      <c r="P19" s="1">
        <f>SUMPRODUCT(N$5:O$5,N19:O19)/SUM(N$5:O$5)</f>
        <v>5.2211066707654465</v>
      </c>
      <c r="Q19" s="1">
        <f>LN(P19+1)</f>
        <v>1.8279478122698898</v>
      </c>
    </row>
    <row r="20" spans="1:20" x14ac:dyDescent="0.3">
      <c r="A20" s="1">
        <v>2023</v>
      </c>
      <c r="B20" s="1">
        <v>9</v>
      </c>
      <c r="C20" s="2">
        <v>14.02</v>
      </c>
      <c r="D20" s="2">
        <v>2.37</v>
      </c>
      <c r="E20" s="2">
        <v>1.75</v>
      </c>
      <c r="F20" s="2">
        <v>5.18</v>
      </c>
      <c r="G20" s="2">
        <v>5.39</v>
      </c>
      <c r="H20" s="1">
        <f>SUMPRODUCT(C20:G20,C$5:G$5)/SUM(C$5:G$5)</f>
        <v>4.566707207207207</v>
      </c>
      <c r="I20" s="1">
        <f t="shared" ref="I20:I24" si="2">LN(H20+1)</f>
        <v>1.7168037134599143</v>
      </c>
      <c r="L20" s="1">
        <v>2023</v>
      </c>
      <c r="M20" s="1">
        <v>9</v>
      </c>
      <c r="N20" s="2">
        <v>7.21</v>
      </c>
      <c r="O20" s="2">
        <v>3.61</v>
      </c>
      <c r="P20" s="1">
        <f>SUMPRODUCT(N$5:O$5,N20:O20)/SUM(N$5:O$5)</f>
        <v>5.4111066707654478</v>
      </c>
      <c r="Q20" s="1">
        <f t="shared" ref="Q20:Q24" si="3">LN(P20+1)</f>
        <v>1.858031903576018</v>
      </c>
    </row>
    <row r="21" spans="1:20" x14ac:dyDescent="0.3">
      <c r="A21" s="1">
        <v>2023</v>
      </c>
      <c r="B21" s="1">
        <v>10</v>
      </c>
      <c r="C21" s="2">
        <v>15.1</v>
      </c>
      <c r="D21" s="2">
        <v>2.72</v>
      </c>
      <c r="E21" s="2">
        <v>1.94</v>
      </c>
      <c r="F21" s="2">
        <v>5.66</v>
      </c>
      <c r="G21" s="2">
        <v>5.78</v>
      </c>
      <c r="H21" s="1">
        <f>SUMPRODUCT(C21:G21,C$5:G$5)/SUM(C$5:G$5)</f>
        <v>4.9874719334719337</v>
      </c>
      <c r="I21" s="1">
        <f t="shared" si="2"/>
        <v>1.789669275205702</v>
      </c>
      <c r="L21" s="1">
        <v>2023</v>
      </c>
      <c r="M21" s="1">
        <v>10</v>
      </c>
      <c r="N21" s="2">
        <v>7.64</v>
      </c>
      <c r="O21" s="2">
        <v>3.92</v>
      </c>
      <c r="P21" s="1">
        <f>SUMPRODUCT(N$5:O$5,N21:O21)/SUM(N$5:O$5)</f>
        <v>5.7811435597909613</v>
      </c>
      <c r="Q21" s="1">
        <f t="shared" si="3"/>
        <v>1.9141457543655214</v>
      </c>
    </row>
    <row r="22" spans="1:20" x14ac:dyDescent="0.3">
      <c r="A22" s="1">
        <v>2023</v>
      </c>
      <c r="B22" s="1">
        <v>11</v>
      </c>
      <c r="C22" s="2">
        <v>15.49</v>
      </c>
      <c r="D22" s="2">
        <v>2.7</v>
      </c>
      <c r="E22" s="2">
        <v>2.14</v>
      </c>
      <c r="F22" s="2">
        <v>5.79</v>
      </c>
      <c r="G22" s="2">
        <v>5.71</v>
      </c>
      <c r="H22" s="1">
        <f>SUMPRODUCT(C22:G22,C$5:G$5)/SUM(C$5:G$5)</f>
        <v>5.0709438669438676</v>
      </c>
      <c r="I22" s="1">
        <f t="shared" si="2"/>
        <v>1.8035140900083464</v>
      </c>
      <c r="L22" s="1">
        <v>2023</v>
      </c>
      <c r="M22" s="1">
        <v>11</v>
      </c>
      <c r="N22" s="2">
        <v>7.59</v>
      </c>
      <c r="O22" s="2">
        <v>3.78</v>
      </c>
      <c r="P22" s="1">
        <f>SUMPRODUCT(N$5:O$5,N22:O22)/SUM(N$5:O$5)</f>
        <v>5.6861712265600977</v>
      </c>
      <c r="Q22" s="1">
        <f t="shared" si="3"/>
        <v>1.9000413973858223</v>
      </c>
    </row>
    <row r="23" spans="1:20" x14ac:dyDescent="0.3">
      <c r="A23" s="1">
        <v>2023</v>
      </c>
      <c r="B23" s="1">
        <v>12</v>
      </c>
      <c r="C23" s="2">
        <v>20.69</v>
      </c>
      <c r="D23" s="2">
        <v>3.12</v>
      </c>
      <c r="E23" s="2">
        <v>2.57</v>
      </c>
      <c r="F23" s="2">
        <v>8.06</v>
      </c>
      <c r="G23" s="2">
        <v>7.21</v>
      </c>
      <c r="H23" s="1">
        <f>SUMPRODUCT(C23:G23,C$5:G$5)/SUM(C$5:G$5)</f>
        <v>6.4689518364518364</v>
      </c>
      <c r="I23" s="1">
        <f t="shared" si="2"/>
        <v>2.0107546728940813</v>
      </c>
      <c r="L23" s="1">
        <v>2023</v>
      </c>
      <c r="M23" s="1">
        <v>12</v>
      </c>
      <c r="N23" s="2">
        <v>8.32</v>
      </c>
      <c r="O23" s="2">
        <v>3.54</v>
      </c>
      <c r="P23" s="1">
        <f>SUMPRODUCT(N$5:O$5,N23:O23)/SUM(N$5:O$5)</f>
        <v>5.931469412849677</v>
      </c>
      <c r="Q23" s="1">
        <f t="shared" si="3"/>
        <v>1.9360718272114981</v>
      </c>
    </row>
    <row r="24" spans="1:20" x14ac:dyDescent="0.3">
      <c r="A24" s="1">
        <v>2024</v>
      </c>
      <c r="B24" s="1">
        <v>1</v>
      </c>
      <c r="C24" s="2">
        <v>17.46</v>
      </c>
      <c r="D24" s="2">
        <v>2.62</v>
      </c>
      <c r="E24" s="2">
        <v>2.17</v>
      </c>
      <c r="F24" s="2">
        <v>5.89</v>
      </c>
      <c r="G24" s="2">
        <v>5.81</v>
      </c>
      <c r="H24" s="1">
        <f>SUMPRODUCT(C24:G24,C$5:G$5)/SUM(C$5:G$5)</f>
        <v>5.3274026334026336</v>
      </c>
      <c r="I24" s="1">
        <f t="shared" si="2"/>
        <v>1.8448898254724633</v>
      </c>
      <c r="L24" s="1">
        <v>2024</v>
      </c>
      <c r="M24" s="1">
        <v>1</v>
      </c>
      <c r="N24" s="2">
        <v>7.54</v>
      </c>
      <c r="O24" s="2">
        <v>3.77</v>
      </c>
      <c r="P24" s="1">
        <f>SUMPRODUCT(N$5:O$5,N24:O24)/SUM(N$5:O$5)</f>
        <v>5.6561589302182593</v>
      </c>
      <c r="Q24" s="1">
        <f t="shared" si="3"/>
        <v>1.8955425809709572</v>
      </c>
    </row>
    <row r="25" spans="1:20" x14ac:dyDescent="0.45">
      <c r="A25" s="1" t="s">
        <v>45</v>
      </c>
      <c r="L25" s="1" t="s">
        <v>44</v>
      </c>
    </row>
    <row r="26" spans="1:20" x14ac:dyDescent="0.45">
      <c r="A26" s="1" t="s">
        <v>13</v>
      </c>
      <c r="B26" s="7" t="s">
        <v>43</v>
      </c>
      <c r="L26" s="1" t="s">
        <v>13</v>
      </c>
      <c r="M26" s="7" t="s">
        <v>43</v>
      </c>
      <c r="P26" s="4" t="s">
        <v>29</v>
      </c>
    </row>
    <row r="27" spans="1:20" x14ac:dyDescent="0.45">
      <c r="A27" s="1" t="s">
        <v>11</v>
      </c>
      <c r="B27" s="7" t="s">
        <v>41</v>
      </c>
      <c r="D27" s="1" t="s">
        <v>42</v>
      </c>
      <c r="L27" s="1" t="s">
        <v>11</v>
      </c>
      <c r="M27" s="7" t="s">
        <v>41</v>
      </c>
    </row>
    <row r="28" spans="1:20" ht="16.899999999999999" customHeight="1" x14ac:dyDescent="0.45">
      <c r="A28" s="5" t="s">
        <v>7</v>
      </c>
      <c r="B28" s="5" t="s">
        <v>6</v>
      </c>
      <c r="C28" s="1" t="s">
        <v>40</v>
      </c>
      <c r="D28" s="1" t="s">
        <v>39</v>
      </c>
      <c r="E28" s="1" t="s">
        <v>38</v>
      </c>
      <c r="F28" s="1" t="s">
        <v>37</v>
      </c>
      <c r="G28" s="1" t="s">
        <v>36</v>
      </c>
      <c r="H28" s="1" t="s">
        <v>35</v>
      </c>
      <c r="I28" s="9" t="s">
        <v>2</v>
      </c>
      <c r="J28" s="13" t="s">
        <v>60</v>
      </c>
      <c r="L28" s="5" t="s">
        <v>7</v>
      </c>
      <c r="M28" s="5" t="s">
        <v>6</v>
      </c>
      <c r="N28" s="1" t="s">
        <v>34</v>
      </c>
      <c r="O28" s="1" t="s">
        <v>33</v>
      </c>
      <c r="P28" s="1" t="s">
        <v>32</v>
      </c>
      <c r="Q28" s="1" t="s">
        <v>31</v>
      </c>
      <c r="R28" s="1" t="s">
        <v>30</v>
      </c>
      <c r="S28" s="9" t="s">
        <v>2</v>
      </c>
      <c r="T28" s="13" t="s">
        <v>60</v>
      </c>
    </row>
    <row r="29" spans="1:20" ht="16.899999999999999" customHeight="1" x14ac:dyDescent="0.45">
      <c r="A29" s="6"/>
      <c r="B29" s="6"/>
      <c r="C29" s="1">
        <v>479.2</v>
      </c>
      <c r="D29" s="1">
        <v>182.8</v>
      </c>
      <c r="E29" s="1">
        <v>637.6</v>
      </c>
      <c r="F29" s="1">
        <v>344.5</v>
      </c>
      <c r="G29" s="1">
        <v>93.8</v>
      </c>
      <c r="H29" s="1">
        <v>736.8</v>
      </c>
      <c r="I29" s="9"/>
      <c r="J29" s="13"/>
      <c r="L29" s="6"/>
      <c r="M29" s="6"/>
      <c r="N29" s="1">
        <v>237</v>
      </c>
      <c r="O29" s="1">
        <v>497</v>
      </c>
      <c r="P29" s="1">
        <v>877</v>
      </c>
      <c r="Q29" s="1">
        <v>965</v>
      </c>
      <c r="R29" s="1">
        <v>301</v>
      </c>
      <c r="S29" s="9"/>
      <c r="T29" s="13"/>
    </row>
    <row r="30" spans="1:20" x14ac:dyDescent="0.3">
      <c r="A30" s="3">
        <v>2022</v>
      </c>
      <c r="B30" s="3">
        <v>10</v>
      </c>
      <c r="C30" s="2">
        <v>9.4600000000000009</v>
      </c>
      <c r="D30" s="2">
        <v>25.2</v>
      </c>
      <c r="E30" s="2">
        <v>3.95</v>
      </c>
      <c r="F30" s="2">
        <v>11.09</v>
      </c>
      <c r="G30" s="2">
        <v>13.45</v>
      </c>
      <c r="H30" s="2">
        <v>4.55</v>
      </c>
      <c r="I30" s="1">
        <f>SUMPRODUCT(C$29:H$29,C30:H30)/SUM(C$29:H$29)</f>
        <v>8.1193142603143826</v>
      </c>
      <c r="J30" s="1">
        <f>LN(I30+1)</f>
        <v>2.2103946105042716</v>
      </c>
      <c r="L30" s="3">
        <v>2022</v>
      </c>
      <c r="M30" s="3">
        <v>10</v>
      </c>
      <c r="N30" s="2">
        <v>26</v>
      </c>
      <c r="O30" s="2">
        <v>17.39</v>
      </c>
      <c r="P30" s="2">
        <v>7.3</v>
      </c>
      <c r="Q30" s="2">
        <v>13.7</v>
      </c>
      <c r="R30" s="2">
        <v>21.47</v>
      </c>
      <c r="S30" s="1">
        <f>SUMPRODUCT(N$29:R$29,N30:R30)/SUM(N$29:R$29)</f>
        <v>14.212686826555441</v>
      </c>
      <c r="T30" s="1">
        <f>LN(S30+1)</f>
        <v>2.7221297393593797</v>
      </c>
    </row>
    <row r="31" spans="1:20" x14ac:dyDescent="0.3">
      <c r="A31" s="3">
        <v>2022</v>
      </c>
      <c r="B31" s="3">
        <v>11</v>
      </c>
      <c r="C31" s="2">
        <v>13.29</v>
      </c>
      <c r="D31" s="2">
        <v>36.33</v>
      </c>
      <c r="E31" s="2">
        <v>5.57</v>
      </c>
      <c r="F31" s="2">
        <v>16.38</v>
      </c>
      <c r="G31" s="2">
        <v>24.5</v>
      </c>
      <c r="H31" s="2">
        <v>6.9</v>
      </c>
      <c r="I31" s="1">
        <f>SUMPRODUCT(C$29:H$29,C31:H31)/SUM(C$29:H$29)</f>
        <v>11.955410352770032</v>
      </c>
      <c r="J31" s="1">
        <f t="shared" ref="J31:J38" si="4">LN(I31+1)</f>
        <v>2.5615134887551894</v>
      </c>
      <c r="L31" s="3">
        <v>2022</v>
      </c>
      <c r="M31" s="3">
        <v>11</v>
      </c>
      <c r="N31" s="2">
        <v>29.12</v>
      </c>
      <c r="O31" s="2">
        <v>20.57</v>
      </c>
      <c r="P31" s="2">
        <v>8.7100000000000009</v>
      </c>
      <c r="Q31" s="2">
        <v>16.22</v>
      </c>
      <c r="R31" s="2">
        <v>25</v>
      </c>
      <c r="S31" s="1">
        <f>SUMPRODUCT(N$29:R$29,N31:R31)/SUM(N$29:R$29)</f>
        <v>16.663434132777201</v>
      </c>
      <c r="T31" s="1">
        <f t="shared" ref="T31:T43" si="5">LN(S31+1)</f>
        <v>2.8714966345259128</v>
      </c>
    </row>
    <row r="32" spans="1:20" x14ac:dyDescent="0.3">
      <c r="A32" s="3">
        <v>2022</v>
      </c>
      <c r="B32" s="3">
        <v>12</v>
      </c>
      <c r="C32" s="2">
        <v>18.88</v>
      </c>
      <c r="D32" s="2">
        <v>50.12</v>
      </c>
      <c r="E32" s="2">
        <v>7.95</v>
      </c>
      <c r="F32" s="2">
        <v>25.85</v>
      </c>
      <c r="G32" s="2">
        <v>40.83</v>
      </c>
      <c r="H32" s="2">
        <v>11.35</v>
      </c>
      <c r="I32" s="1">
        <f>SUMPRODUCT(C$29:H$29,C32:H32)/SUM(C$29:H$29)</f>
        <v>17.931874974744414</v>
      </c>
      <c r="J32" s="1">
        <f t="shared" si="4"/>
        <v>2.9408470081105333</v>
      </c>
      <c r="L32" s="3">
        <v>2022</v>
      </c>
      <c r="M32" s="3">
        <v>12</v>
      </c>
      <c r="N32" s="2">
        <v>41.74</v>
      </c>
      <c r="O32" s="2">
        <v>34.9</v>
      </c>
      <c r="P32" s="2">
        <v>15.56</v>
      </c>
      <c r="Q32" s="2">
        <v>27.37</v>
      </c>
      <c r="R32" s="2">
        <v>40.64</v>
      </c>
      <c r="S32" s="1">
        <f>SUMPRODUCT(N$29:R$29,N32:R32)/SUM(N$29:R$29)</f>
        <v>27.642853667014254</v>
      </c>
      <c r="T32" s="1">
        <f t="shared" si="5"/>
        <v>3.35490397634018</v>
      </c>
    </row>
    <row r="33" spans="1:20" x14ac:dyDescent="0.3">
      <c r="A33" s="3">
        <v>2023</v>
      </c>
      <c r="B33" s="3">
        <v>1</v>
      </c>
      <c r="C33" s="2">
        <v>15.95</v>
      </c>
      <c r="D33" s="2">
        <v>41.38</v>
      </c>
      <c r="E33" s="2">
        <v>6.16</v>
      </c>
      <c r="F33" s="2">
        <v>19.63</v>
      </c>
      <c r="G33" s="2">
        <v>32.94</v>
      </c>
      <c r="H33" s="2">
        <v>9.91</v>
      </c>
      <c r="I33" s="1">
        <f>SUMPRODUCT(C$29:H$29,C33:H33)/SUM(C$29:H$29)</f>
        <v>14.664046147007721</v>
      </c>
      <c r="J33" s="1">
        <f t="shared" si="4"/>
        <v>2.7513680318389553</v>
      </c>
      <c r="L33" s="3">
        <v>2023</v>
      </c>
      <c r="M33" s="3">
        <v>1</v>
      </c>
      <c r="N33" s="2">
        <v>30.2</v>
      </c>
      <c r="O33" s="2">
        <v>22.71</v>
      </c>
      <c r="P33" s="2">
        <v>9.3000000000000007</v>
      </c>
      <c r="Q33" s="2">
        <v>17.16</v>
      </c>
      <c r="R33" s="2">
        <v>24.81</v>
      </c>
      <c r="S33" s="1">
        <f>SUMPRODUCT(N$29:R$29,N33:R33)/SUM(N$29:R$29)</f>
        <v>17.597351407716371</v>
      </c>
      <c r="T33" s="1">
        <f t="shared" si="5"/>
        <v>2.9230191731450748</v>
      </c>
    </row>
    <row r="34" spans="1:20" x14ac:dyDescent="0.3">
      <c r="A34" s="3">
        <v>2023</v>
      </c>
      <c r="B34" s="3">
        <v>2</v>
      </c>
      <c r="C34" s="2">
        <v>12.24</v>
      </c>
      <c r="D34" s="2">
        <v>32.020000000000003</v>
      </c>
      <c r="E34" s="2">
        <v>4.74</v>
      </c>
      <c r="F34" s="2">
        <v>14.94</v>
      </c>
      <c r="G34" s="2">
        <v>25.41</v>
      </c>
      <c r="H34" s="2">
        <v>7.68</v>
      </c>
      <c r="I34" s="1">
        <f>SUMPRODUCT(C$29:H$29,C34:H34)/SUM(C$29:H$29)</f>
        <v>11.286135693215339</v>
      </c>
      <c r="J34" s="1">
        <f t="shared" si="4"/>
        <v>2.5084714472204928</v>
      </c>
      <c r="L34" s="3">
        <v>2023</v>
      </c>
      <c r="M34" s="3">
        <v>2</v>
      </c>
      <c r="N34" s="2">
        <v>27.27</v>
      </c>
      <c r="O34" s="2">
        <v>18.62</v>
      </c>
      <c r="P34" s="2">
        <v>8.15</v>
      </c>
      <c r="Q34" s="2">
        <v>14.09</v>
      </c>
      <c r="R34" s="2">
        <v>23</v>
      </c>
      <c r="S34" s="1">
        <f>SUMPRODUCT(N$29:R$29,N34:R34)/SUM(N$29:R$29)</f>
        <v>15.07978102189781</v>
      </c>
      <c r="T34" s="1">
        <f t="shared" si="5"/>
        <v>2.7775626456169129</v>
      </c>
    </row>
    <row r="35" spans="1:20" x14ac:dyDescent="0.3">
      <c r="A35" s="3">
        <v>2023</v>
      </c>
      <c r="B35" s="3">
        <v>3</v>
      </c>
      <c r="C35" s="2">
        <v>10.79</v>
      </c>
      <c r="D35" s="2">
        <v>27.71</v>
      </c>
      <c r="E35" s="2">
        <v>4.09</v>
      </c>
      <c r="F35" s="2">
        <v>12.31</v>
      </c>
      <c r="G35" s="2">
        <v>16.5</v>
      </c>
      <c r="H35" s="2">
        <v>6.11</v>
      </c>
      <c r="I35" s="1">
        <f>SUMPRODUCT(C$29:H$29,C35:H35)/SUM(C$29:H$29)</f>
        <v>9.3482373621044985</v>
      </c>
      <c r="J35" s="1">
        <f t="shared" si="4"/>
        <v>2.3368162020298358</v>
      </c>
      <c r="L35" s="3">
        <v>2023</v>
      </c>
      <c r="M35" s="3">
        <v>3</v>
      </c>
      <c r="N35" s="2">
        <v>27.13</v>
      </c>
      <c r="O35" s="2">
        <v>18.32</v>
      </c>
      <c r="P35" s="2">
        <v>8.1199999999999992</v>
      </c>
      <c r="Q35" s="2">
        <v>14.01</v>
      </c>
      <c r="R35" s="2">
        <v>22.35</v>
      </c>
      <c r="S35" s="1">
        <f>SUMPRODUCT(N$29:R$29,N35:R35)/SUM(N$29:R$29)</f>
        <v>14.912440041710113</v>
      </c>
      <c r="T35" s="1">
        <f t="shared" si="5"/>
        <v>2.7671011958770615</v>
      </c>
    </row>
    <row r="36" spans="1:20" x14ac:dyDescent="0.3">
      <c r="A36" s="3">
        <v>2023</v>
      </c>
      <c r="B36" s="3">
        <v>4</v>
      </c>
      <c r="C36" s="2">
        <v>4.7</v>
      </c>
      <c r="D36" s="2">
        <v>14.29</v>
      </c>
      <c r="E36" s="2">
        <v>2.2400000000000002</v>
      </c>
      <c r="F36" s="2">
        <v>6.17</v>
      </c>
      <c r="G36" s="2">
        <v>7.93</v>
      </c>
      <c r="H36" s="2">
        <v>3.03</v>
      </c>
      <c r="I36" s="1">
        <f>SUMPRODUCT(C$29:H$29,C36:H36)/SUM(C$29:H$29)</f>
        <v>4.6044284155655237</v>
      </c>
      <c r="J36" s="1">
        <f t="shared" si="4"/>
        <v>1.7235570737264674</v>
      </c>
      <c r="L36" s="3">
        <v>2023</v>
      </c>
      <c r="M36" s="3">
        <v>4</v>
      </c>
      <c r="N36" s="2">
        <v>25.19</v>
      </c>
      <c r="O36" s="2">
        <v>16.79</v>
      </c>
      <c r="P36" s="2">
        <v>7.37</v>
      </c>
      <c r="Q36" s="2">
        <v>12.97</v>
      </c>
      <c r="R36" s="2">
        <v>21.68</v>
      </c>
      <c r="S36" s="1">
        <f>SUMPRODUCT(N$29:R$29,N36:R36)/SUM(N$29:R$29)</f>
        <v>13.84076468543622</v>
      </c>
      <c r="T36" s="1">
        <f t="shared" si="5"/>
        <v>2.6973777650798869</v>
      </c>
    </row>
    <row r="37" spans="1:20" x14ac:dyDescent="0.3">
      <c r="A37" s="3">
        <v>2023</v>
      </c>
      <c r="B37" s="3">
        <v>8</v>
      </c>
      <c r="C37" s="2">
        <v>1.93</v>
      </c>
      <c r="D37" s="2">
        <v>0.95</v>
      </c>
      <c r="E37" s="2">
        <v>0</v>
      </c>
      <c r="F37" s="2">
        <v>0.41</v>
      </c>
      <c r="G37" s="2">
        <v>13.62</v>
      </c>
      <c r="H37" s="2">
        <v>0</v>
      </c>
      <c r="I37" s="1">
        <f>SUMPRODUCT(C$29:H$29,C37:H37)/SUM(C$29:H$29)</f>
        <v>1.0172210773022994</v>
      </c>
      <c r="J37" s="1">
        <f>LN(I37+1)</f>
        <v>0.70172085995738731</v>
      </c>
      <c r="L37" s="3">
        <v>2023</v>
      </c>
      <c r="M37" s="3">
        <v>8</v>
      </c>
      <c r="N37" s="2">
        <v>25.33</v>
      </c>
      <c r="O37" s="2">
        <v>15.96</v>
      </c>
      <c r="P37" s="2">
        <v>7.15</v>
      </c>
      <c r="Q37" s="2">
        <v>11.65</v>
      </c>
      <c r="R37" s="2">
        <v>19.91</v>
      </c>
      <c r="S37" s="1">
        <f>SUMPRODUCT(N$29:R$29,N37:R37)/SUM(N$29:R$29)</f>
        <v>13.013917274939173</v>
      </c>
      <c r="T37" s="1">
        <f t="shared" si="5"/>
        <v>2.6400509269010328</v>
      </c>
    </row>
    <row r="38" spans="1:20" x14ac:dyDescent="0.3">
      <c r="A38" s="3">
        <v>2023</v>
      </c>
      <c r="B38" s="3">
        <v>9</v>
      </c>
      <c r="C38" s="2">
        <v>9.6199999999999992</v>
      </c>
      <c r="D38" s="2">
        <v>24.54</v>
      </c>
      <c r="E38" s="2">
        <v>3.68</v>
      </c>
      <c r="F38" s="2">
        <v>11.29</v>
      </c>
      <c r="G38" s="2">
        <v>14.26</v>
      </c>
      <c r="H38" s="2">
        <v>5.1100000000000003</v>
      </c>
      <c r="I38" s="1">
        <f>SUMPRODUCT(C$29:H$29,C38:H38)/SUM(C$29:H$29)</f>
        <v>8.2572534044530652</v>
      </c>
      <c r="J38" s="1">
        <f t="shared" si="4"/>
        <v>2.2254073960706782</v>
      </c>
      <c r="L38" s="3">
        <v>2023</v>
      </c>
      <c r="M38" s="3">
        <v>9</v>
      </c>
      <c r="N38" s="2">
        <v>23.88</v>
      </c>
      <c r="O38" s="2">
        <v>15.46</v>
      </c>
      <c r="P38" s="2">
        <v>6.85</v>
      </c>
      <c r="Q38" s="2">
        <v>11.83</v>
      </c>
      <c r="R38" s="2">
        <v>19.8</v>
      </c>
      <c r="S38" s="1">
        <f>SUMPRODUCT(N$29:R$29,N38:R38)/SUM(N$29:R$29)</f>
        <v>12.765512686826558</v>
      </c>
      <c r="T38" s="1">
        <f t="shared" si="5"/>
        <v>2.6221663835839721</v>
      </c>
    </row>
    <row r="39" spans="1:20" x14ac:dyDescent="0.45">
      <c r="I39" s="1" t="s">
        <v>0</v>
      </c>
      <c r="S39" s="1" t="s">
        <v>0</v>
      </c>
    </row>
    <row r="40" spans="1:20" x14ac:dyDescent="0.3">
      <c r="A40" s="3">
        <v>2024</v>
      </c>
      <c r="B40" s="3">
        <v>3</v>
      </c>
      <c r="C40" s="2">
        <v>11</v>
      </c>
      <c r="D40" s="2">
        <v>28.51</v>
      </c>
      <c r="E40" s="2">
        <v>4.2</v>
      </c>
      <c r="F40" s="2">
        <v>13.43</v>
      </c>
      <c r="G40" s="2">
        <v>24.12</v>
      </c>
      <c r="H40" s="2">
        <v>6.05</v>
      </c>
      <c r="I40" s="1">
        <f>SUMPRODUCT(C$29:H$29,C40:H40)/SUM(C$29:H$29)</f>
        <v>9.9032121065179624</v>
      </c>
      <c r="J40" s="1">
        <f>LN(I40+1)</f>
        <v>2.3890574344942928</v>
      </c>
      <c r="L40" s="3">
        <v>2024</v>
      </c>
      <c r="M40" s="3">
        <v>3</v>
      </c>
      <c r="N40" s="2">
        <v>27.52</v>
      </c>
      <c r="O40" s="2">
        <v>18.239999999999998</v>
      </c>
      <c r="P40" s="2">
        <v>8.11</v>
      </c>
      <c r="Q40" s="2">
        <v>13.79</v>
      </c>
      <c r="R40" s="2">
        <v>21.74</v>
      </c>
      <c r="S40" s="1">
        <f>SUMPRODUCT(N$29:R$29,N40:R40)/SUM(N$29:R$29)</f>
        <v>14.790086896072296</v>
      </c>
      <c r="T40" s="1">
        <f>LN(S40+1)</f>
        <v>2.7593823314868788</v>
      </c>
    </row>
    <row r="41" spans="1:20" x14ac:dyDescent="0.3">
      <c r="A41" s="3">
        <v>2024</v>
      </c>
      <c r="B41" s="3">
        <v>4</v>
      </c>
      <c r="C41" s="2">
        <v>11.24</v>
      </c>
      <c r="D41" s="2">
        <v>27.35</v>
      </c>
      <c r="E41" s="2">
        <v>4.0999999999999996</v>
      </c>
      <c r="F41" s="2">
        <v>12.79</v>
      </c>
      <c r="G41" s="2">
        <v>17.559999999999999</v>
      </c>
      <c r="H41" s="2">
        <v>5.95</v>
      </c>
      <c r="I41" s="1">
        <f>SUMPRODUCT(C$29:H$29,C41:H41)/SUM(C$29:H$29)</f>
        <v>9.4707200872833077</v>
      </c>
      <c r="J41" s="1">
        <f t="shared" ref="J41:J43" si="6">LN(I41+1)</f>
        <v>2.3485827987622923</v>
      </c>
      <c r="L41" s="3">
        <v>2024</v>
      </c>
      <c r="M41" s="3">
        <v>4</v>
      </c>
      <c r="N41" s="2">
        <v>28.17</v>
      </c>
      <c r="O41" s="2">
        <v>19.57</v>
      </c>
      <c r="P41" s="2">
        <v>8.25</v>
      </c>
      <c r="Q41" s="2">
        <v>14.38</v>
      </c>
      <c r="R41" s="2">
        <v>23.86</v>
      </c>
      <c r="S41" s="1">
        <f>SUMPRODUCT(N$29:R$29,N41:R41)/SUM(N$29:R$29)</f>
        <v>15.535762947514772</v>
      </c>
      <c r="T41" s="1">
        <f t="shared" si="5"/>
        <v>2.805525486736967</v>
      </c>
    </row>
    <row r="42" spans="1:20" x14ac:dyDescent="0.3">
      <c r="A42" s="3">
        <v>2024</v>
      </c>
      <c r="B42" s="3">
        <v>8</v>
      </c>
      <c r="C42" s="2">
        <v>9.01</v>
      </c>
      <c r="D42" s="2">
        <v>27.13</v>
      </c>
      <c r="E42" s="2">
        <v>4.2699999999999996</v>
      </c>
      <c r="F42" s="2">
        <v>12.26</v>
      </c>
      <c r="G42" s="2">
        <v>17.010000000000002</v>
      </c>
      <c r="H42" s="2">
        <v>4.93</v>
      </c>
      <c r="I42" s="1">
        <f>SUMPRODUCT(C$29:H$29,C42:H42)/SUM(C$29:H$29)</f>
        <v>8.6681375520265078</v>
      </c>
      <c r="J42" s="1">
        <f t="shared" si="6"/>
        <v>2.2688356902975877</v>
      </c>
      <c r="L42" s="3">
        <v>2024</v>
      </c>
      <c r="M42" s="3">
        <v>8</v>
      </c>
      <c r="N42" s="2">
        <v>21.53</v>
      </c>
      <c r="O42" s="2">
        <v>17.57</v>
      </c>
      <c r="P42" s="2">
        <v>7.24</v>
      </c>
      <c r="Q42" s="2">
        <v>12.9</v>
      </c>
      <c r="R42" s="2">
        <v>15.95</v>
      </c>
      <c r="S42" s="1">
        <f>SUMPRODUCT(N$29:R$29,N42:R42)/SUM(N$29:R$29)</f>
        <v>13.011411192214112</v>
      </c>
      <c r="T42" s="1">
        <f t="shared" si="5"/>
        <v>2.639872082771896</v>
      </c>
    </row>
    <row r="43" spans="1:20" x14ac:dyDescent="0.3">
      <c r="A43" s="3">
        <v>2024</v>
      </c>
      <c r="B43" s="3">
        <v>9</v>
      </c>
      <c r="C43" s="2">
        <v>9.7100000000000009</v>
      </c>
      <c r="D43" s="2">
        <v>28.78</v>
      </c>
      <c r="E43" s="2">
        <v>4.7699999999999996</v>
      </c>
      <c r="F43" s="2">
        <v>13.59</v>
      </c>
      <c r="G43" s="2">
        <v>17.55</v>
      </c>
      <c r="H43" s="2">
        <v>5.55</v>
      </c>
      <c r="I43" s="1">
        <f>SUMPRODUCT(C$29:H$29,C43:H43)/SUM(C$29:H$29)</f>
        <v>9.4446005576433514</v>
      </c>
      <c r="J43" s="1">
        <f t="shared" si="6"/>
        <v>2.346085151830485</v>
      </c>
      <c r="L43" s="3">
        <v>2024</v>
      </c>
      <c r="M43" s="3">
        <v>9</v>
      </c>
      <c r="N43" s="2">
        <v>23.3</v>
      </c>
      <c r="O43" s="2">
        <v>19.53</v>
      </c>
      <c r="P43" s="2">
        <v>7.3</v>
      </c>
      <c r="Q43" s="2">
        <v>13.41</v>
      </c>
      <c r="R43" s="2">
        <v>17.329999999999998</v>
      </c>
      <c r="S43" s="1">
        <f>SUMPRODUCT(N$29:R$29,N43:R43)/SUM(N$29:R$29)</f>
        <v>13.82954118873827</v>
      </c>
      <c r="T43" s="1">
        <f t="shared" si="5"/>
        <v>2.6966212176225826</v>
      </c>
    </row>
    <row r="45" spans="1:20" x14ac:dyDescent="0.45">
      <c r="A45" s="1" t="s">
        <v>28</v>
      </c>
      <c r="L45" s="1" t="s">
        <v>27</v>
      </c>
    </row>
    <row r="46" spans="1:20" x14ac:dyDescent="0.45">
      <c r="A46" s="1" t="s">
        <v>13</v>
      </c>
      <c r="B46" s="7" t="s">
        <v>26</v>
      </c>
      <c r="L46" s="1" t="s">
        <v>13</v>
      </c>
      <c r="M46" s="7" t="s">
        <v>26</v>
      </c>
    </row>
    <row r="47" spans="1:20" x14ac:dyDescent="0.45">
      <c r="A47" s="1" t="s">
        <v>11</v>
      </c>
      <c r="B47" s="7" t="s">
        <v>25</v>
      </c>
      <c r="L47" s="1" t="s">
        <v>11</v>
      </c>
      <c r="M47" s="7" t="s">
        <v>25</v>
      </c>
    </row>
    <row r="48" spans="1:20" x14ac:dyDescent="0.45">
      <c r="A48" s="5" t="s">
        <v>7</v>
      </c>
      <c r="B48" s="5" t="s">
        <v>6</v>
      </c>
      <c r="C48" s="1" t="s">
        <v>24</v>
      </c>
      <c r="D48" s="1" t="s">
        <v>23</v>
      </c>
      <c r="E48" s="1" t="s">
        <v>22</v>
      </c>
      <c r="F48" s="1" t="s">
        <v>21</v>
      </c>
      <c r="G48" s="1" t="s">
        <v>20</v>
      </c>
      <c r="H48" s="5" t="s">
        <v>2</v>
      </c>
      <c r="I48" s="13" t="s">
        <v>60</v>
      </c>
      <c r="L48" s="5" t="s">
        <v>7</v>
      </c>
      <c r="M48" s="5" t="s">
        <v>6</v>
      </c>
      <c r="N48" s="1" t="s">
        <v>19</v>
      </c>
      <c r="O48" s="1" t="s">
        <v>18</v>
      </c>
      <c r="P48" s="1" t="s">
        <v>17</v>
      </c>
      <c r="Q48" s="1" t="s">
        <v>16</v>
      </c>
      <c r="R48" s="5" t="s">
        <v>2</v>
      </c>
      <c r="S48" s="13" t="s">
        <v>60</v>
      </c>
    </row>
    <row r="49" spans="1:19" x14ac:dyDescent="0.45">
      <c r="A49" s="6"/>
      <c r="B49" s="6"/>
      <c r="C49" s="1">
        <v>91.51</v>
      </c>
      <c r="D49" s="1">
        <v>58.68</v>
      </c>
      <c r="E49" s="1">
        <v>60</v>
      </c>
      <c r="F49" s="1">
        <v>86.7</v>
      </c>
      <c r="G49" s="1">
        <v>1302</v>
      </c>
      <c r="H49" s="5"/>
      <c r="I49" s="13"/>
      <c r="L49" s="6"/>
      <c r="M49" s="6"/>
      <c r="N49" s="1">
        <v>115</v>
      </c>
      <c r="O49" s="1">
        <v>59</v>
      </c>
      <c r="P49" s="1">
        <v>70</v>
      </c>
      <c r="Q49" s="1">
        <v>236</v>
      </c>
      <c r="R49" s="5"/>
      <c r="S49" s="13"/>
    </row>
    <row r="50" spans="1:19" x14ac:dyDescent="0.3">
      <c r="A50" s="3">
        <v>2023</v>
      </c>
      <c r="B50" s="3">
        <v>1</v>
      </c>
      <c r="C50" s="2">
        <v>14.01</v>
      </c>
      <c r="D50" s="2">
        <v>11.51</v>
      </c>
      <c r="E50" s="2">
        <v>11.42</v>
      </c>
      <c r="F50" s="2">
        <v>10.77</v>
      </c>
      <c r="G50" s="2">
        <v>1.68</v>
      </c>
      <c r="H50" s="1">
        <f>SUMPRODUCT(C$49:G$49,C50:G50)/SUM(C$49:G$49)</f>
        <v>3.6048639368561943</v>
      </c>
      <c r="I50" s="1">
        <f>LN(H50+1)</f>
        <v>1.527113122442566</v>
      </c>
      <c r="L50" s="3">
        <v>2023</v>
      </c>
      <c r="M50" s="3">
        <v>1</v>
      </c>
      <c r="N50" s="2">
        <v>11.26</v>
      </c>
      <c r="O50" s="2">
        <v>11.48</v>
      </c>
      <c r="P50" s="2">
        <v>10.79</v>
      </c>
      <c r="Q50" s="2">
        <v>4.54</v>
      </c>
      <c r="R50" s="1">
        <f>SUMPRODUCT(N$49:Q$49,N50:Q50)/SUM(N$49:Q$49)</f>
        <v>7.9144999999999994</v>
      </c>
      <c r="S50" s="1">
        <f>LN(R50+1)</f>
        <v>2.1876791644926881</v>
      </c>
    </row>
    <row r="51" spans="1:19" x14ac:dyDescent="0.3">
      <c r="A51" s="3">
        <v>2023</v>
      </c>
      <c r="B51" s="3">
        <v>2</v>
      </c>
      <c r="C51" s="2">
        <v>12.62</v>
      </c>
      <c r="D51" s="2">
        <v>10.35</v>
      </c>
      <c r="E51" s="2">
        <v>11.17</v>
      </c>
      <c r="F51" s="2">
        <v>9.6999999999999993</v>
      </c>
      <c r="G51" s="2">
        <v>1.5</v>
      </c>
      <c r="H51" s="1">
        <f>SUMPRODUCT(C$49:G$49,C51:G51)/SUM(C$49:G$49)</f>
        <v>3.2687578257416083</v>
      </c>
      <c r="I51" s="1">
        <f t="shared" ref="I51:I66" si="7">LN(H51+1)</f>
        <v>1.4513228775983242</v>
      </c>
      <c r="L51" s="3">
        <v>2023</v>
      </c>
      <c r="M51" s="3">
        <v>2</v>
      </c>
      <c r="N51" s="2">
        <v>9.8699999999999992</v>
      </c>
      <c r="O51" s="2">
        <v>9.8699999999999992</v>
      </c>
      <c r="P51" s="2">
        <v>15.76</v>
      </c>
      <c r="Q51" s="2">
        <v>4.16</v>
      </c>
      <c r="R51" s="1">
        <f>SUMPRODUCT(N$49:Q$49,N51:Q51)/SUM(N$49:Q$49)</f>
        <v>7.9215416666666671</v>
      </c>
      <c r="S51" s="1">
        <f t="shared" ref="S51:S66" si="8">LN(R51+1)</f>
        <v>2.1884687642440364</v>
      </c>
    </row>
    <row r="52" spans="1:19" x14ac:dyDescent="0.3">
      <c r="A52" s="3">
        <v>2023</v>
      </c>
      <c r="B52" s="3">
        <v>3</v>
      </c>
      <c r="C52" s="2">
        <v>12.7</v>
      </c>
      <c r="D52" s="2">
        <v>10.65</v>
      </c>
      <c r="E52" s="2">
        <v>11.33</v>
      </c>
      <c r="F52" s="2">
        <v>9.77</v>
      </c>
      <c r="G52" s="2">
        <v>1.57</v>
      </c>
      <c r="H52" s="1">
        <f>SUMPRODUCT(C$49:G$49,C52:G52)/SUM(C$49:G$49)</f>
        <v>3.3511486093477356</v>
      </c>
      <c r="I52" s="1">
        <f t="shared" si="7"/>
        <v>1.4704398583719378</v>
      </c>
      <c r="L52" s="3">
        <v>2023</v>
      </c>
      <c r="M52" s="3">
        <v>3</v>
      </c>
      <c r="N52" s="2">
        <v>9.91</v>
      </c>
      <c r="O52" s="2">
        <v>9.8699999999999992</v>
      </c>
      <c r="P52" s="2">
        <v>9.9600000000000009</v>
      </c>
      <c r="Q52" s="2">
        <v>4.3</v>
      </c>
      <c r="R52" s="1">
        <f>SUMPRODUCT(N$49:Q$49,N52:Q52)/SUM(N$49:Q$49)</f>
        <v>7.1541250000000014</v>
      </c>
      <c r="S52" s="1">
        <f t="shared" si="8"/>
        <v>2.0985239341789961</v>
      </c>
    </row>
    <row r="53" spans="1:19" x14ac:dyDescent="0.3">
      <c r="A53" s="3">
        <v>2023</v>
      </c>
      <c r="B53" s="3">
        <v>4</v>
      </c>
      <c r="C53" s="2">
        <v>11.69</v>
      </c>
      <c r="D53" s="2">
        <v>9.99</v>
      </c>
      <c r="E53" s="2">
        <v>10.54</v>
      </c>
      <c r="F53" s="2">
        <v>8.7100000000000009</v>
      </c>
      <c r="G53" s="2">
        <v>1.42</v>
      </c>
      <c r="H53" s="1">
        <f>SUMPRODUCT(C$49:G$49,C53:G53)/SUM(C$49:G$49)</f>
        <v>3.0598490828011937</v>
      </c>
      <c r="I53" s="1">
        <f t="shared" si="7"/>
        <v>1.4011458011989115</v>
      </c>
      <c r="L53" s="3">
        <v>2023</v>
      </c>
      <c r="M53" s="3">
        <v>4</v>
      </c>
      <c r="N53" s="2">
        <v>8.3800000000000008</v>
      </c>
      <c r="O53" s="2">
        <v>8.67</v>
      </c>
      <c r="P53" s="2">
        <v>8.4600000000000009</v>
      </c>
      <c r="Q53" s="2">
        <v>3.76</v>
      </c>
      <c r="R53" s="1">
        <f>SUMPRODUCT(N$49:Q$49,N53:Q53)/SUM(N$49:Q$49)</f>
        <v>6.1558124999999997</v>
      </c>
      <c r="S53" s="1">
        <f t="shared" si="8"/>
        <v>1.9679249635144911</v>
      </c>
    </row>
    <row r="54" spans="1:19" x14ac:dyDescent="0.3">
      <c r="A54" s="3">
        <v>2023</v>
      </c>
      <c r="B54" s="3">
        <v>5</v>
      </c>
      <c r="C54" s="2">
        <v>11.47</v>
      </c>
      <c r="D54" s="2">
        <v>9.68</v>
      </c>
      <c r="E54" s="2">
        <v>10.42</v>
      </c>
      <c r="F54" s="2">
        <v>8.42</v>
      </c>
      <c r="G54" s="2">
        <v>1.64</v>
      </c>
      <c r="H54" s="1">
        <f>SUMPRODUCT(C$49:G$49,C54:G54)/SUM(C$49:G$49)</f>
        <v>3.194801456010107</v>
      </c>
      <c r="I54" s="1">
        <f t="shared" si="7"/>
        <v>1.4338460100768673</v>
      </c>
      <c r="L54" s="3">
        <v>2023</v>
      </c>
      <c r="M54" s="3">
        <v>5</v>
      </c>
      <c r="N54" s="2">
        <v>8.99</v>
      </c>
      <c r="O54" s="2">
        <v>9.27</v>
      </c>
      <c r="P54" s="2">
        <v>8.7200000000000006</v>
      </c>
      <c r="Q54" s="2">
        <v>4.42</v>
      </c>
      <c r="R54" s="1">
        <f>SUMPRODUCT(N$49:Q$49,N54:Q54)/SUM(N$49:Q$49)</f>
        <v>6.7381250000000001</v>
      </c>
      <c r="S54" s="1">
        <f t="shared" si="8"/>
        <v>2.0461594101928191</v>
      </c>
    </row>
    <row r="55" spans="1:19" x14ac:dyDescent="0.3">
      <c r="A55" s="8">
        <v>2023</v>
      </c>
      <c r="B55" s="8">
        <v>6</v>
      </c>
      <c r="C55" s="2">
        <f>(C54+C57)/2</f>
        <v>11.11</v>
      </c>
      <c r="D55" s="2">
        <f>(D54+D57)/2</f>
        <v>9.3650000000000002</v>
      </c>
      <c r="E55" s="2">
        <f>(E54+E57)/2</f>
        <v>10.275</v>
      </c>
      <c r="F55" s="2">
        <f>(F54+F57)/2</f>
        <v>8.2349999999999994</v>
      </c>
      <c r="G55" s="2">
        <f>(G54+G57)/2</f>
        <v>1.5299999999999998</v>
      </c>
      <c r="H55" s="1">
        <f>SUMPRODUCT(C$49:G$49,C55:G55)/SUM(C$49:G$49)</f>
        <v>3.0575892025092406</v>
      </c>
      <c r="I55" s="1">
        <f t="shared" si="7"/>
        <v>1.4005890047636553</v>
      </c>
      <c r="L55" s="3">
        <v>2023</v>
      </c>
      <c r="M55" s="3">
        <v>6</v>
      </c>
      <c r="N55" s="2">
        <f>(N54+N56)/2</f>
        <v>9.5150000000000006</v>
      </c>
      <c r="O55" s="2">
        <f>(O54+O56)/2</f>
        <v>9.6549999999999994</v>
      </c>
      <c r="P55" s="2">
        <f>(P54+P56)/2</f>
        <v>9.8150000000000013</v>
      </c>
      <c r="Q55" s="2">
        <f>(Q54+Q56)/2</f>
        <v>4.3949999999999996</v>
      </c>
      <c r="R55" s="1">
        <f>SUMPRODUCT(N$49:Q$49,N55:Q55)/SUM(N$49:Q$49)</f>
        <v>7.0586250000000001</v>
      </c>
      <c r="S55" s="1">
        <f t="shared" si="8"/>
        <v>2.0867429464319649</v>
      </c>
    </row>
    <row r="56" spans="1:19" x14ac:dyDescent="0.3">
      <c r="A56" s="3">
        <v>2023</v>
      </c>
      <c r="B56" s="3">
        <v>7</v>
      </c>
      <c r="C56" s="2">
        <v>11.31</v>
      </c>
      <c r="D56" s="2">
        <v>9.5299999999999994</v>
      </c>
      <c r="E56" s="2">
        <v>10.64</v>
      </c>
      <c r="F56" s="2">
        <v>8.08</v>
      </c>
      <c r="G56" s="2">
        <v>1.4</v>
      </c>
      <c r="H56" s="1">
        <f>SUMPRODUCT(C$49:G$49,C56:G56)/SUM(C$49:G$49)</f>
        <v>2.9745226375798213</v>
      </c>
      <c r="I56" s="1">
        <f t="shared" si="7"/>
        <v>1.379904649719885</v>
      </c>
      <c r="L56" s="3">
        <v>2023</v>
      </c>
      <c r="M56" s="3">
        <v>7</v>
      </c>
      <c r="N56" s="2">
        <v>10.039999999999999</v>
      </c>
      <c r="O56" s="2">
        <v>10.039999999999999</v>
      </c>
      <c r="P56" s="2">
        <v>10.91</v>
      </c>
      <c r="Q56" s="2">
        <v>4.37</v>
      </c>
      <c r="R56" s="1">
        <f>SUMPRODUCT(N$49:Q$49,N56:Q56)/SUM(N$49:Q$49)</f>
        <v>7.3791249999999993</v>
      </c>
      <c r="S56" s="1">
        <f t="shared" si="8"/>
        <v>2.1257434937678741</v>
      </c>
    </row>
    <row r="57" spans="1:19" x14ac:dyDescent="0.3">
      <c r="A57" s="3">
        <v>2023</v>
      </c>
      <c r="B57" s="3">
        <v>8</v>
      </c>
      <c r="C57" s="2">
        <v>10.75</v>
      </c>
      <c r="D57" s="2">
        <v>9.0500000000000007</v>
      </c>
      <c r="E57" s="2">
        <v>10.130000000000001</v>
      </c>
      <c r="F57" s="2">
        <v>8.0500000000000007</v>
      </c>
      <c r="G57" s="2">
        <v>1.42</v>
      </c>
      <c r="H57" s="1">
        <f>SUMPRODUCT(C$49:G$49,C57:G57)/SUM(C$49:G$49)</f>
        <v>2.9203769490083746</v>
      </c>
      <c r="I57" s="1">
        <f t="shared" si="7"/>
        <v>1.3661878096405704</v>
      </c>
      <c r="L57" s="3">
        <v>2023</v>
      </c>
      <c r="M57" s="3">
        <v>8</v>
      </c>
      <c r="N57" s="2">
        <v>8.56</v>
      </c>
      <c r="O57" s="2">
        <v>8.7899999999999991</v>
      </c>
      <c r="P57" s="2">
        <v>8.68</v>
      </c>
      <c r="Q57" s="2">
        <v>3.68</v>
      </c>
      <c r="R57" s="1">
        <f>SUMPRODUCT(N$49:Q$49,N57:Q57)/SUM(N$49:Q$49)</f>
        <v>6.2064375000000007</v>
      </c>
      <c r="S57" s="1">
        <f t="shared" si="8"/>
        <v>1.9749747237774009</v>
      </c>
    </row>
    <row r="58" spans="1:19" x14ac:dyDescent="0.3">
      <c r="A58" s="3">
        <v>2023</v>
      </c>
      <c r="B58" s="3">
        <v>9</v>
      </c>
      <c r="C58" s="2">
        <v>10.28</v>
      </c>
      <c r="D58" s="2">
        <v>8.6999999999999993</v>
      </c>
      <c r="E58" s="2">
        <v>9.26</v>
      </c>
      <c r="F58" s="2">
        <v>7.8</v>
      </c>
      <c r="G58" s="2">
        <v>1.35</v>
      </c>
      <c r="H58" s="1">
        <f>SUMPRODUCT(C$49:G$49,C58:G58)/SUM(C$49:G$49)</f>
        <v>2.7774260893494862</v>
      </c>
      <c r="I58" s="1">
        <f t="shared" si="7"/>
        <v>1.3290428489507029</v>
      </c>
      <c r="L58" s="3">
        <v>2023</v>
      </c>
      <c r="M58" s="3">
        <v>9</v>
      </c>
      <c r="N58" s="2">
        <v>8.26</v>
      </c>
      <c r="O58" s="2">
        <v>8.06</v>
      </c>
      <c r="P58" s="2">
        <v>7.97</v>
      </c>
      <c r="Q58" s="2">
        <v>3.45</v>
      </c>
      <c r="R58" s="1">
        <f>SUMPRODUCT(N$49:Q$49,N58:Q58)/SUM(N$49:Q$49)</f>
        <v>5.8282083333333334</v>
      </c>
      <c r="S58" s="1">
        <f t="shared" si="8"/>
        <v>1.9210623160855487</v>
      </c>
    </row>
    <row r="59" spans="1:19" x14ac:dyDescent="0.3">
      <c r="A59" s="3">
        <v>2023</v>
      </c>
      <c r="B59" s="3">
        <v>10</v>
      </c>
      <c r="C59" s="2">
        <v>12.46</v>
      </c>
      <c r="D59" s="2">
        <v>9.77</v>
      </c>
      <c r="E59" s="2">
        <v>10.91</v>
      </c>
      <c r="F59" s="2">
        <v>8.66</v>
      </c>
      <c r="G59" s="2">
        <v>1.62</v>
      </c>
      <c r="H59" s="1">
        <f>SUMPRODUCT(C$49:G$49,C59:G59)/SUM(C$49:G$49)</f>
        <v>3.2698811050166059</v>
      </c>
      <c r="I59" s="1">
        <f t="shared" si="7"/>
        <v>1.4515859825944686</v>
      </c>
      <c r="L59" s="3">
        <v>2023</v>
      </c>
      <c r="M59" s="3">
        <v>10</v>
      </c>
      <c r="N59" s="2">
        <v>9.6</v>
      </c>
      <c r="O59" s="2">
        <v>9.01</v>
      </c>
      <c r="P59" s="2">
        <v>10.06</v>
      </c>
      <c r="Q59" s="2">
        <v>3.82</v>
      </c>
      <c r="R59" s="1">
        <f>SUMPRODUCT(N$49:Q$49,N59:Q59)/SUM(N$49:Q$49)</f>
        <v>6.7527291666666667</v>
      </c>
      <c r="S59" s="1">
        <f t="shared" si="8"/>
        <v>2.0480449319124423</v>
      </c>
    </row>
    <row r="60" spans="1:19" x14ac:dyDescent="0.3">
      <c r="A60" s="3">
        <v>2023</v>
      </c>
      <c r="B60" s="3">
        <v>11</v>
      </c>
      <c r="C60" s="2">
        <v>12.62</v>
      </c>
      <c r="D60" s="2">
        <v>10.09</v>
      </c>
      <c r="E60" s="2">
        <v>11.09</v>
      </c>
      <c r="F60" s="2">
        <v>8.98</v>
      </c>
      <c r="G60" s="2">
        <v>1.54</v>
      </c>
      <c r="H60" s="1">
        <f>SUMPRODUCT(C$49:G$49,C60:G60)/SUM(C$49:G$49)</f>
        <v>3.249744134993652</v>
      </c>
      <c r="I60" s="1">
        <f t="shared" si="7"/>
        <v>1.4468587775931145</v>
      </c>
      <c r="L60" s="3">
        <v>2023</v>
      </c>
      <c r="M60" s="3">
        <v>11</v>
      </c>
      <c r="N60" s="2">
        <v>9.36</v>
      </c>
      <c r="O60" s="2">
        <v>8.75</v>
      </c>
      <c r="P60" s="2">
        <v>9.1999999999999993</v>
      </c>
      <c r="Q60" s="2">
        <v>3.62</v>
      </c>
      <c r="R60" s="1">
        <f>SUMPRODUCT(N$49:Q$49,N60:Q60)/SUM(N$49:Q$49)</f>
        <v>6.4395208333333329</v>
      </c>
      <c r="S60" s="1">
        <f t="shared" si="8"/>
        <v>2.0068064426491024</v>
      </c>
    </row>
    <row r="61" spans="1:19" x14ac:dyDescent="0.3">
      <c r="A61" s="3">
        <v>2023</v>
      </c>
      <c r="B61" s="3">
        <v>12</v>
      </c>
      <c r="C61" s="2">
        <v>17.63</v>
      </c>
      <c r="D61" s="2">
        <v>12.35</v>
      </c>
      <c r="E61" s="2">
        <v>13.47</v>
      </c>
      <c r="F61" s="2">
        <v>11.45</v>
      </c>
      <c r="G61" s="2">
        <v>2.11</v>
      </c>
      <c r="H61" s="1">
        <f>SUMPRODUCT(C$49:G$49,C61:G61)/SUM(C$49:G$49)</f>
        <v>4.3068343037982606</v>
      </c>
      <c r="I61" s="1">
        <f t="shared" si="7"/>
        <v>1.6689954811609091</v>
      </c>
      <c r="L61" s="3">
        <v>2023</v>
      </c>
      <c r="M61" s="3">
        <v>12</v>
      </c>
      <c r="N61" s="2">
        <v>14.98</v>
      </c>
      <c r="O61" s="2">
        <v>14.32</v>
      </c>
      <c r="P61" s="2">
        <v>12.79</v>
      </c>
      <c r="Q61" s="2">
        <v>5.58</v>
      </c>
      <c r="R61" s="1">
        <f>SUMPRODUCT(N$49:Q$49,N61:Q61)/SUM(N$49:Q$49)</f>
        <v>9.9578333333333333</v>
      </c>
      <c r="S61" s="1">
        <f t="shared" si="8"/>
        <v>2.3940545734124328</v>
      </c>
    </row>
    <row r="62" spans="1:19" x14ac:dyDescent="0.45">
      <c r="H62" s="1" t="s">
        <v>0</v>
      </c>
      <c r="R62" s="1" t="s">
        <v>0</v>
      </c>
    </row>
    <row r="63" spans="1:19" x14ac:dyDescent="0.3">
      <c r="A63" s="3">
        <v>2024</v>
      </c>
      <c r="B63" s="3">
        <v>5</v>
      </c>
      <c r="C63" s="2">
        <v>11.72</v>
      </c>
      <c r="D63" s="2">
        <v>9.15</v>
      </c>
      <c r="E63" s="2">
        <v>9.73</v>
      </c>
      <c r="F63" s="2">
        <v>8.18</v>
      </c>
      <c r="G63" s="2">
        <v>1.4</v>
      </c>
      <c r="H63" s="1">
        <f>SUMPRODUCT(C$49:G$49,C63:G63)/SUM(C$49:G$49)</f>
        <v>2.9553160004753298</v>
      </c>
      <c r="I63" s="1">
        <f t="shared" si="7"/>
        <v>1.3750604970102478</v>
      </c>
      <c r="L63" s="3">
        <v>2024</v>
      </c>
      <c r="M63" s="3">
        <v>5</v>
      </c>
      <c r="N63" s="2">
        <v>9.5</v>
      </c>
      <c r="O63" s="2">
        <v>8.77</v>
      </c>
      <c r="P63" s="2">
        <v>8.42</v>
      </c>
      <c r="Q63" s="2">
        <v>3.51</v>
      </c>
      <c r="R63" s="1">
        <f>SUMPRODUCT(N$49:Q$49,N63:Q63)/SUM(N$49:Q$49)</f>
        <v>6.3076874999999992</v>
      </c>
      <c r="S63" s="1">
        <f t="shared" si="8"/>
        <v>1.9889268762440508</v>
      </c>
    </row>
    <row r="64" spans="1:19" x14ac:dyDescent="0.3">
      <c r="A64" s="3">
        <v>2024</v>
      </c>
      <c r="B64" s="3">
        <v>6</v>
      </c>
      <c r="C64" s="2">
        <f>(C63+C65)/2</f>
        <v>5.875</v>
      </c>
      <c r="D64" s="2">
        <f>(D63+D65)/2</f>
        <v>4.95</v>
      </c>
      <c r="E64" s="2">
        <f>(E63+E65)/2</f>
        <v>5.2650000000000006</v>
      </c>
      <c r="F64" s="2">
        <f>(F63+F65)/2</f>
        <v>4.0999999999999996</v>
      </c>
      <c r="G64" s="2">
        <f>(G63+G65)/2</f>
        <v>1.115</v>
      </c>
      <c r="H64" s="1">
        <f>SUMPRODUCT(C$49:G$49,C64:G64)/SUM(C$49:G$49)</f>
        <v>1.8457725359468131</v>
      </c>
      <c r="I64" s="1">
        <f t="shared" si="7"/>
        <v>1.045834572350864</v>
      </c>
      <c r="L64" s="3">
        <v>2024</v>
      </c>
      <c r="M64" s="3">
        <v>6</v>
      </c>
      <c r="N64" s="2">
        <f>(N63+N65)/2</f>
        <v>7.04</v>
      </c>
      <c r="O64" s="2">
        <f>(O63+O65)/2</f>
        <v>8.6349999999999998</v>
      </c>
      <c r="P64" s="2">
        <f>(P63+P65)/2</f>
        <v>7.13</v>
      </c>
      <c r="Q64" s="2">
        <f>(Q63+Q65)/2</f>
        <v>2.87</v>
      </c>
      <c r="R64" s="1">
        <f>SUMPRODUCT(N$49:Q$49,N64:Q64)/SUM(N$49:Q$49)</f>
        <v>5.1989270833333334</v>
      </c>
      <c r="S64" s="1">
        <f t="shared" si="8"/>
        <v>1.8243762260007121</v>
      </c>
    </row>
    <row r="65" spans="1:19" x14ac:dyDescent="0.3">
      <c r="A65" s="3">
        <v>2024</v>
      </c>
      <c r="B65" s="3">
        <v>7</v>
      </c>
      <c r="C65" s="2">
        <v>0.03</v>
      </c>
      <c r="D65" s="2">
        <v>0.75</v>
      </c>
      <c r="E65" s="2">
        <v>0.8</v>
      </c>
      <c r="F65" s="2">
        <v>0.02</v>
      </c>
      <c r="G65" s="2">
        <v>0.83</v>
      </c>
      <c r="H65" s="1">
        <f>SUMPRODUCT(C$49:G$49,C65:G65)/SUM(C$49:G$49)</f>
        <v>0.73622907141829641</v>
      </c>
      <c r="I65" s="1">
        <f t="shared" si="7"/>
        <v>0.55171556111501829</v>
      </c>
      <c r="L65" s="3">
        <v>2024</v>
      </c>
      <c r="M65" s="3">
        <v>7</v>
      </c>
      <c r="N65" s="2">
        <v>4.58</v>
      </c>
      <c r="O65" s="2">
        <v>8.5</v>
      </c>
      <c r="P65" s="2">
        <v>5.84</v>
      </c>
      <c r="Q65" s="2">
        <v>2.23</v>
      </c>
      <c r="R65" s="1">
        <f>SUMPRODUCT(N$49:Q$49,N65:Q65)/SUM(N$49:Q$49)</f>
        <v>4.0901666666666667</v>
      </c>
      <c r="S65" s="1">
        <f t="shared" si="8"/>
        <v>1.6273105739687308</v>
      </c>
    </row>
    <row r="66" spans="1:19" x14ac:dyDescent="0.3">
      <c r="A66" s="3">
        <v>2024</v>
      </c>
      <c r="B66" s="3">
        <v>8</v>
      </c>
      <c r="C66" s="2">
        <v>9.18</v>
      </c>
      <c r="D66" s="2">
        <v>9.17</v>
      </c>
      <c r="E66" s="2">
        <v>10.73</v>
      </c>
      <c r="F66" s="2">
        <v>8.9700000000000006</v>
      </c>
      <c r="G66" s="2">
        <v>1.53</v>
      </c>
      <c r="H66" s="1">
        <f>SUMPRODUCT(C$49:G$49,C66:G66)/SUM(C$49:G$49)</f>
        <v>2.9969018506588951</v>
      </c>
      <c r="I66" s="1">
        <f t="shared" si="7"/>
        <v>1.3855195236755988</v>
      </c>
      <c r="L66" s="3">
        <v>2024</v>
      </c>
      <c r="M66" s="3">
        <v>8</v>
      </c>
      <c r="N66" s="2">
        <v>8.8699999999999992</v>
      </c>
      <c r="O66" s="2">
        <v>8.2799999999999994</v>
      </c>
      <c r="P66" s="2">
        <v>6.64</v>
      </c>
      <c r="Q66" s="2">
        <v>2.76</v>
      </c>
      <c r="R66" s="1">
        <f>SUMPRODUCT(N$49:Q$49,N66:Q66)/SUM(N$49:Q$49)</f>
        <v>5.4681874999999991</v>
      </c>
      <c r="S66" s="1">
        <f t="shared" si="8"/>
        <v>1.8668959301629657</v>
      </c>
    </row>
    <row r="68" spans="1:19" x14ac:dyDescent="0.45">
      <c r="A68" s="1" t="s">
        <v>15</v>
      </c>
      <c r="L68" s="1" t="s">
        <v>14</v>
      </c>
    </row>
    <row r="69" spans="1:19" x14ac:dyDescent="0.45">
      <c r="A69" s="1" t="s">
        <v>13</v>
      </c>
      <c r="B69" s="7" t="s">
        <v>12</v>
      </c>
      <c r="L69" s="1" t="s">
        <v>13</v>
      </c>
      <c r="M69" s="7" t="s">
        <v>12</v>
      </c>
      <c r="P69" s="4" t="s">
        <v>1</v>
      </c>
    </row>
    <row r="70" spans="1:19" x14ac:dyDescent="0.45">
      <c r="A70" s="1" t="s">
        <v>11</v>
      </c>
      <c r="B70" s="7" t="s">
        <v>10</v>
      </c>
      <c r="L70" s="1" t="s">
        <v>11</v>
      </c>
      <c r="M70" s="7" t="s">
        <v>10</v>
      </c>
    </row>
    <row r="71" spans="1:19" x14ac:dyDescent="0.45">
      <c r="A71" s="5" t="s">
        <v>7</v>
      </c>
      <c r="B71" s="5" t="s">
        <v>6</v>
      </c>
      <c r="C71" s="1" t="s">
        <v>9</v>
      </c>
      <c r="D71" s="1" t="s">
        <v>8</v>
      </c>
      <c r="E71" s="5" t="s">
        <v>2</v>
      </c>
      <c r="F71" s="13" t="s">
        <v>60</v>
      </c>
      <c r="L71" s="5" t="s">
        <v>7</v>
      </c>
      <c r="M71" s="5" t="s">
        <v>6</v>
      </c>
      <c r="N71" s="1" t="s">
        <v>5</v>
      </c>
      <c r="O71" s="1" t="s">
        <v>4</v>
      </c>
      <c r="P71" s="1" t="s">
        <v>3</v>
      </c>
      <c r="Q71" s="5" t="s">
        <v>2</v>
      </c>
      <c r="R71" s="13" t="s">
        <v>60</v>
      </c>
    </row>
    <row r="72" spans="1:19" x14ac:dyDescent="0.45">
      <c r="A72" s="6"/>
      <c r="B72" s="6"/>
      <c r="C72" s="1">
        <v>2442</v>
      </c>
      <c r="D72" s="1">
        <v>3480</v>
      </c>
      <c r="E72" s="5"/>
      <c r="F72" s="13"/>
      <c r="L72" s="6"/>
      <c r="M72" s="6"/>
      <c r="N72" s="1">
        <v>842.1</v>
      </c>
      <c r="O72" s="1">
        <v>309.5</v>
      </c>
      <c r="P72" s="1">
        <v>2102</v>
      </c>
      <c r="Q72" s="5"/>
      <c r="R72" s="13"/>
    </row>
    <row r="73" spans="1:19" x14ac:dyDescent="0.3">
      <c r="A73" s="3">
        <v>2023</v>
      </c>
      <c r="B73" s="3">
        <v>2</v>
      </c>
      <c r="C73" s="2">
        <v>1.5</v>
      </c>
      <c r="D73" s="2">
        <v>1.54</v>
      </c>
      <c r="E73" s="1">
        <f>SUMPRODUCT(C$72:D$72,C73:D73)/SUM(C$72:D$72)</f>
        <v>1.5235055724417428</v>
      </c>
      <c r="F73" s="1">
        <f>LN(E73+1)</f>
        <v>0.92564903501517637</v>
      </c>
      <c r="L73" s="3">
        <v>2023</v>
      </c>
      <c r="M73" s="3">
        <v>2</v>
      </c>
      <c r="N73" s="2">
        <v>5.96</v>
      </c>
      <c r="O73" s="2">
        <v>5.38</v>
      </c>
      <c r="P73" s="2">
        <v>2.2799999999999998</v>
      </c>
      <c r="Q73" s="1">
        <f>SUMPRODUCT(N$72:P$72,N73:P73)/SUM(N$72:P$72)</f>
        <v>3.527350012294074</v>
      </c>
      <c r="R73" s="1">
        <f>LN(Q73+1)</f>
        <v>1.5101367820751799</v>
      </c>
    </row>
    <row r="74" spans="1:19" x14ac:dyDescent="0.3">
      <c r="A74" s="3">
        <v>2023</v>
      </c>
      <c r="B74" s="3">
        <v>3</v>
      </c>
      <c r="C74" s="2">
        <v>2.08</v>
      </c>
      <c r="D74" s="2">
        <v>1.68</v>
      </c>
      <c r="E74" s="1">
        <f>SUMPRODUCT(C$72:D$72,C74:D74)/SUM(C$72:D$72)</f>
        <v>1.8449442755825736</v>
      </c>
      <c r="F74" s="1">
        <f t="shared" ref="F74:F91" si="9">LN(E74+1)</f>
        <v>1.045543480596514</v>
      </c>
      <c r="L74" s="3">
        <v>2023</v>
      </c>
      <c r="M74" s="3">
        <v>3</v>
      </c>
      <c r="N74" s="2">
        <v>4.03</v>
      </c>
      <c r="O74" s="2">
        <v>4.24</v>
      </c>
      <c r="P74" s="2">
        <v>2.29</v>
      </c>
      <c r="Q74" s="1">
        <f>SUMPRODUCT(N$72:P$72,N74:P74)/SUM(N$72:P$72)</f>
        <v>2.9258430661421198</v>
      </c>
      <c r="R74" s="1">
        <f t="shared" ref="R74:R91" si="10">LN(Q74+1)</f>
        <v>1.3675811220910192</v>
      </c>
    </row>
    <row r="75" spans="1:19" x14ac:dyDescent="0.3">
      <c r="A75" s="3">
        <v>2023</v>
      </c>
      <c r="B75" s="3">
        <v>4</v>
      </c>
      <c r="C75" s="2">
        <v>2.0699999999999998</v>
      </c>
      <c r="D75" s="2">
        <v>1.76</v>
      </c>
      <c r="E75" s="1">
        <f>SUMPRODUCT(C$72:D$72,C75:D75)/SUM(C$72:D$72)</f>
        <v>1.8878318135764944</v>
      </c>
      <c r="F75" s="1">
        <f t="shared" si="9"/>
        <v>1.0605059830385533</v>
      </c>
      <c r="L75" s="3">
        <v>2023</v>
      </c>
      <c r="M75" s="3">
        <v>4</v>
      </c>
      <c r="N75" s="2">
        <v>5.65</v>
      </c>
      <c r="O75" s="2">
        <v>5.56</v>
      </c>
      <c r="P75" s="2">
        <v>2.69</v>
      </c>
      <c r="Q75" s="1">
        <f>SUMPRODUCT(N$72:P$72,N75:P75)/SUM(N$72:P$72)</f>
        <v>3.7291200516351122</v>
      </c>
      <c r="R75" s="1">
        <f t="shared" si="10"/>
        <v>1.5537391496019601</v>
      </c>
    </row>
    <row r="76" spans="1:19" x14ac:dyDescent="0.3">
      <c r="A76" s="3">
        <v>2023</v>
      </c>
      <c r="B76" s="3">
        <v>5</v>
      </c>
      <c r="C76" s="2">
        <v>2.09</v>
      </c>
      <c r="D76" s="2">
        <v>1.67</v>
      </c>
      <c r="E76" s="1">
        <f>SUMPRODUCT(C$72:D$72,C76:D76)/SUM(C$72:D$72)</f>
        <v>1.8431914893617021</v>
      </c>
      <c r="F76" s="1">
        <f t="shared" si="9"/>
        <v>1.0449271850829109</v>
      </c>
      <c r="L76" s="3">
        <v>2023</v>
      </c>
      <c r="M76" s="3">
        <v>5</v>
      </c>
      <c r="N76" s="2">
        <v>5.96</v>
      </c>
      <c r="O76" s="2">
        <v>5.97</v>
      </c>
      <c r="P76" s="2">
        <v>2.4900000000000002</v>
      </c>
      <c r="Q76" s="1">
        <f>SUMPRODUCT(N$72:P$72,N76:P76)/SUM(N$72:P$72)</f>
        <v>3.7191452544873376</v>
      </c>
      <c r="R76" s="1">
        <f t="shared" si="10"/>
        <v>1.5516276930476749</v>
      </c>
    </row>
    <row r="77" spans="1:19" x14ac:dyDescent="0.3">
      <c r="A77" s="3">
        <v>2023</v>
      </c>
      <c r="B77" s="3">
        <v>6</v>
      </c>
      <c r="C77" s="2">
        <f>(C76+C78)/2</f>
        <v>2.11</v>
      </c>
      <c r="D77" s="2">
        <f>(D76+D78)/2</f>
        <v>1.69</v>
      </c>
      <c r="E77" s="1">
        <f>SUMPRODUCT(C$72:D$72,C77:D77)/SUM(C$72:D$72)</f>
        <v>1.8631914893617021</v>
      </c>
      <c r="F77" s="1">
        <f t="shared" si="9"/>
        <v>1.0519369080433913</v>
      </c>
      <c r="L77" s="3">
        <v>2023</v>
      </c>
      <c r="M77" s="3">
        <v>6</v>
      </c>
      <c r="N77" s="2">
        <f>(N76+N78)/2</f>
        <v>5.8149999999999995</v>
      </c>
      <c r="O77" s="2">
        <f>(O76+O78)/2</f>
        <v>5.65</v>
      </c>
      <c r="P77" s="2">
        <f>(P76+P78)/2</f>
        <v>2.5150000000000001</v>
      </c>
      <c r="Q77" s="1">
        <f>SUMPRODUCT(N$72:P$72,N77:P77)/SUM(N$72:P$72)</f>
        <v>3.6673274219326291</v>
      </c>
      <c r="R77" s="1">
        <f t="shared" si="10"/>
        <v>1.5405866213383073</v>
      </c>
    </row>
    <row r="78" spans="1:19" x14ac:dyDescent="0.3">
      <c r="A78" s="3">
        <v>2023</v>
      </c>
      <c r="B78" s="3">
        <v>7</v>
      </c>
      <c r="C78" s="2">
        <v>2.13</v>
      </c>
      <c r="D78" s="2">
        <v>1.71</v>
      </c>
      <c r="E78" s="1">
        <f>SUMPRODUCT(C$72:D$72,C78:D78)/SUM(C$72:D$72)</f>
        <v>1.8831914893617021</v>
      </c>
      <c r="F78" s="1">
        <f t="shared" si="9"/>
        <v>1.058897836624564</v>
      </c>
      <c r="L78" s="3">
        <v>2023</v>
      </c>
      <c r="M78" s="3">
        <v>7</v>
      </c>
      <c r="N78" s="2">
        <v>5.67</v>
      </c>
      <c r="O78" s="2">
        <v>5.33</v>
      </c>
      <c r="P78" s="2">
        <v>2.54</v>
      </c>
      <c r="Q78" s="1">
        <f>SUMPRODUCT(N$72:P$72,N78:P78)/SUM(N$72:P$72)</f>
        <v>3.6155095893779201</v>
      </c>
      <c r="R78" s="1">
        <f t="shared" si="10"/>
        <v>1.529422282092519</v>
      </c>
    </row>
    <row r="79" spans="1:19" x14ac:dyDescent="0.3">
      <c r="A79" s="3">
        <v>2023</v>
      </c>
      <c r="B79" s="3">
        <v>8</v>
      </c>
      <c r="C79" s="2">
        <v>2</v>
      </c>
      <c r="D79" s="2">
        <v>1.79</v>
      </c>
      <c r="E79" s="1">
        <f>SUMPRODUCT(C$72:D$72,C79:D79)/SUM(C$72:D$72)</f>
        <v>1.8765957446808512</v>
      </c>
      <c r="F79" s="1">
        <f t="shared" si="9"/>
        <v>1.0566075618988051</v>
      </c>
      <c r="L79" s="3">
        <v>2023</v>
      </c>
      <c r="M79" s="3">
        <v>8</v>
      </c>
      <c r="N79" s="2">
        <v>4.67</v>
      </c>
      <c r="O79" s="2">
        <v>4.8</v>
      </c>
      <c r="P79" s="2">
        <v>2.31</v>
      </c>
      <c r="Q79" s="1">
        <f>SUMPRODUCT(N$72:P$72,N79:P79)/SUM(N$72:P$72)</f>
        <v>3.1576798008359974</v>
      </c>
      <c r="R79" s="1">
        <f t="shared" si="10"/>
        <v>1.4249571784946042</v>
      </c>
    </row>
    <row r="80" spans="1:19" x14ac:dyDescent="0.3">
      <c r="A80" s="3">
        <v>2023</v>
      </c>
      <c r="B80" s="3">
        <v>9</v>
      </c>
      <c r="C80" s="2">
        <v>1.78</v>
      </c>
      <c r="D80" s="2">
        <v>1.62</v>
      </c>
      <c r="E80" s="1">
        <f>SUMPRODUCT(C$72:D$72,C80:D80)/SUM(C$72:D$72)</f>
        <v>1.6859777102330296</v>
      </c>
      <c r="F80" s="1">
        <f t="shared" si="9"/>
        <v>0.98804479956811331</v>
      </c>
      <c r="L80" s="3">
        <v>2023</v>
      </c>
      <c r="M80" s="3">
        <v>9</v>
      </c>
      <c r="N80" s="2">
        <v>5.44</v>
      </c>
      <c r="O80" s="2">
        <v>5.49</v>
      </c>
      <c r="P80" s="2">
        <v>2.41</v>
      </c>
      <c r="Q80" s="1">
        <f>SUMPRODUCT(N$72:P$72,N80:P80)/SUM(N$72:P$72)</f>
        <v>3.4872138554216869</v>
      </c>
      <c r="R80" s="1">
        <f t="shared" si="10"/>
        <v>1.5012319869727977</v>
      </c>
    </row>
    <row r="81" spans="1:18" x14ac:dyDescent="0.3">
      <c r="A81" s="3">
        <v>2023</v>
      </c>
      <c r="B81" s="3">
        <v>10</v>
      </c>
      <c r="C81" s="2">
        <v>1.92</v>
      </c>
      <c r="D81" s="2">
        <v>1.84</v>
      </c>
      <c r="E81" s="1">
        <f>SUMPRODUCT(C$72:D$72,C81:D81)/SUM(C$72:D$72)</f>
        <v>1.8729888551165148</v>
      </c>
      <c r="F81" s="1">
        <f t="shared" si="9"/>
        <v>1.0553529008098563</v>
      </c>
      <c r="L81" s="3">
        <v>2023</v>
      </c>
      <c r="M81" s="3">
        <v>10</v>
      </c>
      <c r="N81" s="2">
        <v>6.17</v>
      </c>
      <c r="O81" s="2">
        <v>6.43</v>
      </c>
      <c r="P81" s="2">
        <v>2.84</v>
      </c>
      <c r="Q81" s="1">
        <f>SUMPRODUCT(N$72:P$72,N81:P81)/SUM(N$72:P$72)</f>
        <v>4.0433741086796164</v>
      </c>
      <c r="R81" s="1">
        <f t="shared" si="10"/>
        <v>1.6180753240987344</v>
      </c>
    </row>
    <row r="82" spans="1:18" x14ac:dyDescent="0.3">
      <c r="A82" s="3">
        <v>2023</v>
      </c>
      <c r="B82" s="3">
        <v>11</v>
      </c>
      <c r="C82" s="2">
        <v>1.97</v>
      </c>
      <c r="D82" s="2">
        <v>1.82</v>
      </c>
      <c r="E82" s="1">
        <f>SUMPRODUCT(C$72:D$72,C82:D82)/SUM(C$72:D$72)</f>
        <v>1.881854103343465</v>
      </c>
      <c r="F82" s="1">
        <f t="shared" si="9"/>
        <v>1.0584338728897689</v>
      </c>
      <c r="L82" s="3">
        <v>2023</v>
      </c>
      <c r="M82" s="3">
        <v>11</v>
      </c>
      <c r="N82" s="2">
        <v>6.23</v>
      </c>
      <c r="O82" s="2">
        <v>6.6</v>
      </c>
      <c r="P82" s="2">
        <v>2.73</v>
      </c>
      <c r="Q82" s="1">
        <f>SUMPRODUCT(N$72:P$72,N82:P82)/SUM(N$72:P$72)</f>
        <v>4.004008790263093</v>
      </c>
      <c r="R82" s="1">
        <f t="shared" si="10"/>
        <v>1.6102393492504226</v>
      </c>
    </row>
    <row r="83" spans="1:18" x14ac:dyDescent="0.3">
      <c r="A83" s="3">
        <v>2023</v>
      </c>
      <c r="B83" s="3">
        <v>12</v>
      </c>
      <c r="C83" s="2">
        <v>1.83</v>
      </c>
      <c r="D83" s="2">
        <v>1.59</v>
      </c>
      <c r="E83" s="1">
        <f>SUMPRODUCT(C$72:D$72,C83:D83)/SUM(C$72:D$72)</f>
        <v>1.6889665653495443</v>
      </c>
      <c r="F83" s="1">
        <f t="shared" si="9"/>
        <v>0.98915694334908599</v>
      </c>
      <c r="L83" s="3">
        <v>2023</v>
      </c>
      <c r="M83" s="3">
        <v>12</v>
      </c>
      <c r="N83" s="2">
        <v>5.17</v>
      </c>
      <c r="O83" s="2">
        <v>4.82</v>
      </c>
      <c r="P83" s="2">
        <v>2.2400000000000002</v>
      </c>
      <c r="Q83" s="1">
        <f>SUMPRODUCT(N$72:P$72,N83:P83)/SUM(N$72:P$72)</f>
        <v>3.2437690558150973</v>
      </c>
      <c r="R83" s="1">
        <f t="shared" si="10"/>
        <v>1.4454518026394056</v>
      </c>
    </row>
    <row r="84" spans="1:18" x14ac:dyDescent="0.45">
      <c r="E84" s="1" t="s">
        <v>0</v>
      </c>
      <c r="Q84" s="1" t="s">
        <v>0</v>
      </c>
    </row>
    <row r="85" spans="1:18" x14ac:dyDescent="0.3">
      <c r="A85" s="3">
        <v>2024</v>
      </c>
      <c r="B85" s="3">
        <v>5</v>
      </c>
      <c r="C85" s="2">
        <v>2.08</v>
      </c>
      <c r="D85" s="2">
        <v>1.94</v>
      </c>
      <c r="E85" s="1">
        <f>SUMPRODUCT(C$72:D$72,C85:D85)/SUM(C$72:D$72)</f>
        <v>1.9977304964539009</v>
      </c>
      <c r="F85" s="1">
        <f t="shared" si="9"/>
        <v>1.0978555011946618</v>
      </c>
      <c r="L85" s="3">
        <v>2024</v>
      </c>
      <c r="M85" s="3">
        <v>5</v>
      </c>
      <c r="N85" s="2">
        <v>6.4</v>
      </c>
      <c r="O85" s="2">
        <v>5.94</v>
      </c>
      <c r="P85" s="2">
        <v>2.76</v>
      </c>
      <c r="Q85" s="1">
        <f>SUMPRODUCT(N$72:P$72,N85:P85)/SUM(N$72:P$72)</f>
        <v>4.004607204327514</v>
      </c>
      <c r="R85" s="1">
        <f t="shared" si="10"/>
        <v>1.6103589290335729</v>
      </c>
    </row>
    <row r="86" spans="1:18" x14ac:dyDescent="0.3">
      <c r="A86" s="3">
        <v>2024</v>
      </c>
      <c r="B86" s="3">
        <v>6</v>
      </c>
      <c r="C86" s="2">
        <f>(C85+C87)/2</f>
        <v>1.99</v>
      </c>
      <c r="D86" s="2">
        <f>(D85+D87)/2</f>
        <v>1.9949999999999999</v>
      </c>
      <c r="E86" s="1">
        <f>SUMPRODUCT(C$72:D$72,C86:D86)/SUM(C$72:D$72)</f>
        <v>1.992938196555218</v>
      </c>
      <c r="F86" s="1">
        <f t="shared" si="9"/>
        <v>1.0962555793273308</v>
      </c>
      <c r="L86" s="3">
        <v>2024</v>
      </c>
      <c r="M86" s="3">
        <v>6</v>
      </c>
      <c r="N86" s="2">
        <f>(N85+N87)/2</f>
        <v>6.71</v>
      </c>
      <c r="O86" s="2">
        <f>(O85+O87)/2</f>
        <v>4.9250000000000007</v>
      </c>
      <c r="P86" s="2">
        <f>(P85+P87)/2</f>
        <v>2.5750000000000002</v>
      </c>
      <c r="Q86" s="1">
        <f>SUMPRODUCT(N$72:P$72,N86:P86)/SUM(N$72:P$72)</f>
        <v>3.8687695168428822</v>
      </c>
      <c r="R86" s="1">
        <f t="shared" si="10"/>
        <v>1.5828412392230604</v>
      </c>
    </row>
    <row r="87" spans="1:18" x14ac:dyDescent="0.3">
      <c r="A87" s="3">
        <v>2024</v>
      </c>
      <c r="B87" s="3">
        <v>7</v>
      </c>
      <c r="C87" s="2">
        <v>1.9</v>
      </c>
      <c r="D87" s="2">
        <v>2.0499999999999998</v>
      </c>
      <c r="E87" s="1">
        <f>SUMPRODUCT(C$72:D$72,C87:D87)/SUM(C$72:D$72)</f>
        <v>1.9881458966565349</v>
      </c>
      <c r="F87" s="1">
        <f t="shared" si="9"/>
        <v>1.0946530936075067</v>
      </c>
      <c r="L87" s="3">
        <v>2024</v>
      </c>
      <c r="M87" s="3">
        <v>7</v>
      </c>
      <c r="N87" s="2">
        <v>7.02</v>
      </c>
      <c r="O87" s="2">
        <v>3.91</v>
      </c>
      <c r="P87" s="2">
        <v>2.39</v>
      </c>
      <c r="Q87" s="1">
        <f>SUMPRODUCT(N$72:P$72,N87:P87)/SUM(N$72:P$72)</f>
        <v>3.7329318293582494</v>
      </c>
      <c r="R87" s="1">
        <f t="shared" si="10"/>
        <v>1.5545448475578114</v>
      </c>
    </row>
    <row r="88" spans="1:18" x14ac:dyDescent="0.3">
      <c r="A88" s="3">
        <v>2024</v>
      </c>
      <c r="B88" s="3">
        <v>8</v>
      </c>
      <c r="C88" s="2">
        <v>1.94</v>
      </c>
      <c r="D88" s="2">
        <v>2.13</v>
      </c>
      <c r="E88" s="1">
        <f>SUMPRODUCT(C$72:D$72,C88:D88)/SUM(C$72:D$72)</f>
        <v>2.0516514690982777</v>
      </c>
      <c r="F88" s="1">
        <f t="shared" si="9"/>
        <v>1.1156829093580154</v>
      </c>
      <c r="L88" s="3">
        <v>2024</v>
      </c>
      <c r="M88" s="3">
        <v>8</v>
      </c>
      <c r="N88" s="2">
        <v>6.7</v>
      </c>
      <c r="O88" s="2">
        <v>3.82</v>
      </c>
      <c r="P88" s="2">
        <v>2.44</v>
      </c>
      <c r="Q88" s="1">
        <f>SUMPRODUCT(N$72:P$72,N88:P88)/SUM(N$72:P$72)</f>
        <v>3.6738505040570453</v>
      </c>
      <c r="R88" s="1">
        <f t="shared" si="10"/>
        <v>1.5419832510217177</v>
      </c>
    </row>
    <row r="89" spans="1:18" x14ac:dyDescent="0.3">
      <c r="A89" s="3">
        <v>2024</v>
      </c>
      <c r="B89" s="3">
        <v>9</v>
      </c>
      <c r="C89" s="2">
        <v>1.75</v>
      </c>
      <c r="D89" s="2">
        <v>1.85</v>
      </c>
      <c r="E89" s="1">
        <f>SUMPRODUCT(C$72:D$72,C89:D89)/SUM(C$72:D$72)</f>
        <v>1.8087639311043566</v>
      </c>
      <c r="F89" s="1">
        <f t="shared" si="9"/>
        <v>1.0327445043998436</v>
      </c>
      <c r="L89" s="3">
        <v>2024</v>
      </c>
      <c r="M89" s="3">
        <v>9</v>
      </c>
      <c r="N89" s="2">
        <v>5.0999999999999996</v>
      </c>
      <c r="O89" s="2">
        <v>3.11</v>
      </c>
      <c r="P89" s="2">
        <v>2.33</v>
      </c>
      <c r="Q89" s="1">
        <f>SUMPRODUCT(N$72:P$72,N89:P89)/SUM(N$72:P$72)</f>
        <v>3.1211319768871406</v>
      </c>
      <c r="R89" s="1">
        <f t="shared" si="10"/>
        <v>1.4161278772957426</v>
      </c>
    </row>
    <row r="90" spans="1:18" x14ac:dyDescent="0.3">
      <c r="A90" s="3">
        <v>2024</v>
      </c>
      <c r="B90" s="3">
        <v>10</v>
      </c>
      <c r="C90" s="2">
        <v>1.87</v>
      </c>
      <c r="D90" s="2">
        <v>1.89</v>
      </c>
      <c r="E90" s="1">
        <f>SUMPRODUCT(C$72:D$72,C90:D90)/SUM(C$72:D$72)</f>
        <v>1.8817527862208714</v>
      </c>
      <c r="F90" s="1">
        <f t="shared" si="9"/>
        <v>1.0583987153488241</v>
      </c>
      <c r="L90" s="3">
        <v>2024</v>
      </c>
      <c r="M90" s="3">
        <v>10</v>
      </c>
      <c r="N90" s="2">
        <v>6.68</v>
      </c>
      <c r="O90" s="2">
        <v>3.67</v>
      </c>
      <c r="P90" s="2">
        <v>2.4</v>
      </c>
      <c r="Q90" s="1">
        <f>SUMPRODUCT(N$72:P$72,N90:P90)/SUM(N$72:P$72)</f>
        <v>3.6285631300713059</v>
      </c>
      <c r="R90" s="1">
        <f t="shared" si="10"/>
        <v>1.5322464808555343</v>
      </c>
    </row>
    <row r="91" spans="1:18" x14ac:dyDescent="0.3">
      <c r="A91" s="3">
        <v>2024</v>
      </c>
      <c r="B91" s="3">
        <v>11</v>
      </c>
      <c r="C91" s="2">
        <v>2.04</v>
      </c>
      <c r="D91" s="2">
        <v>2.09</v>
      </c>
      <c r="E91" s="1">
        <f>SUMPRODUCT(C$72:D$72,C91:D91)/SUM(C$72:D$72)</f>
        <v>2.0693819655521786</v>
      </c>
      <c r="F91" s="1">
        <f t="shared" si="9"/>
        <v>1.1214762271803069</v>
      </c>
      <c r="L91" s="3">
        <v>2024</v>
      </c>
      <c r="M91" s="3">
        <v>11</v>
      </c>
      <c r="N91" s="2">
        <v>7.32</v>
      </c>
      <c r="O91" s="2">
        <v>3.82</v>
      </c>
      <c r="P91" s="2">
        <v>2.83</v>
      </c>
      <c r="Q91" s="1">
        <f>SUMPRODUCT(N$72:P$72,N91:P91)/SUM(N$72:P$72)</f>
        <v>4.0862804278337839</v>
      </c>
      <c r="R91" s="1">
        <f t="shared" si="10"/>
        <v>1.6265468026867278</v>
      </c>
    </row>
  </sheetData>
  <mergeCells count="31">
    <mergeCell ref="T28:T29"/>
    <mergeCell ref="I48:I49"/>
    <mergeCell ref="S48:S49"/>
    <mergeCell ref="F71:F72"/>
    <mergeCell ref="R71:R72"/>
    <mergeCell ref="A4:A5"/>
    <mergeCell ref="B4:B5"/>
    <mergeCell ref="H4:H5"/>
    <mergeCell ref="L4:L5"/>
    <mergeCell ref="M4:M5"/>
    <mergeCell ref="P4:P5"/>
    <mergeCell ref="I4:I5"/>
    <mergeCell ref="A28:A29"/>
    <mergeCell ref="B28:B29"/>
    <mergeCell ref="I28:I29"/>
    <mergeCell ref="L28:L29"/>
    <mergeCell ref="M28:M29"/>
    <mergeCell ref="S28:S29"/>
    <mergeCell ref="J28:J29"/>
    <mergeCell ref="A48:A49"/>
    <mergeCell ref="B48:B49"/>
    <mergeCell ref="L48:L49"/>
    <mergeCell ref="M48:M49"/>
    <mergeCell ref="H48:H49"/>
    <mergeCell ref="R48:R49"/>
    <mergeCell ref="A71:A72"/>
    <mergeCell ref="B71:B72"/>
    <mergeCell ref="L71:L72"/>
    <mergeCell ref="M71:M72"/>
    <mergeCell ref="E71:E72"/>
    <mergeCell ref="Q71:Q7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kang</dc:creator>
  <cp:lastModifiedBy>yr kang</cp:lastModifiedBy>
  <dcterms:created xsi:type="dcterms:W3CDTF">2026-04-29T09:11:17Z</dcterms:created>
  <dcterms:modified xsi:type="dcterms:W3CDTF">2026-04-29T09:35:07Z</dcterms:modified>
</cp:coreProperties>
</file>